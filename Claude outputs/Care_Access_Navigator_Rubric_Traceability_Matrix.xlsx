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Requirements" sheetId="3" state="visible" r:id="rId5"/>
    <sheet name="October Plan" sheetId="4" state="visible" r:id="rId6"/>
  </sheets>
  <definedNames>
    <definedName function="false" hidden="true" localSheetId="2" name="_xlnm._FilterDatabase" vbProcedure="false">Requirements!$A$1:$M$185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<sst xmlns="http://schemas.openxmlformats.org/spreadsheetml/2006/main" count="1800" uniqueCount="821">
  <si>
    <t xml:space="preserve">Care Access Navigator: Rubric Traceability Matrix</t>
  </si>
  <si>
    <t xml:space="preserve">Every rubric line item from all 7 courses + the capstone design doc, split into single checkable requirements.</t>
  </si>
  <si>
    <t xml:space="preserve">How it was verified (2026-10-13)</t>
  </si>
  <si>
    <t xml:space="preserve">1. Text of every course PDF/DOCX in dae_6mon_coh2_AC, Downloads, Desktop and Documents was searched for each requirement.</t>
  </si>
  <si>
    <t xml:space="preserve">2. Live-system facts come from system-generated evidence collected 10/13 (Keycloak kcadm, Microsoft Graph, Azure Monitor).</t>
  </si>
  <si>
    <t xml:space="preserve">3. GitHub = your local git clone, which matches origin/main as of 10/12 (direct GitHub API access was not available).</t>
  </si>
  <si>
    <t xml:space="preserve">4. Risk Management rows are keyword-verified (each required term is present in the PDF), not re-graded line by line.</t>
  </si>
  <si>
    <t xml:space="preserve">Status definitions</t>
  </si>
  <si>
    <t xml:space="preserve">Met</t>
  </si>
  <si>
    <t xml:space="preserve">Evidence exists and matches the rubric wording.</t>
  </si>
  <si>
    <t xml:space="preserve">Met (equivalent lab)</t>
  </si>
  <si>
    <t xml:space="preserve">Done, but in an equivalent environment rather than the exact tool the rubric names.</t>
  </si>
  <si>
    <t xml:space="preserve">Partial</t>
  </si>
  <si>
    <t xml:space="preserve">Some of it exists (designed, drafted, or only part of the requirement).</t>
  </si>
  <si>
    <t xml:space="preserve">Gap</t>
  </si>
  <si>
    <t xml:space="preserve">Nothing found. Must be built.</t>
  </si>
  <si>
    <t xml:space="preserve">Risk: tool substitution</t>
  </si>
  <si>
    <t xml:space="preserve">Rubric names a specific tool you did not use. Needs instructor acceptance or rebuild.</t>
  </si>
  <si>
    <t xml:space="preserve">Not found on computer</t>
  </si>
  <si>
    <t xml:space="preserve">Probably submitted elsewhere (e.g., Schoology) but not on this computer. Confirm the grade.</t>
  </si>
  <si>
    <t xml:space="preserve">Cells you edit</t>
  </si>
  <si>
    <t xml:space="preserve">Yellow columns on the Requirements sheet</t>
  </si>
  <si>
    <t xml:space="preserve">My status · Date closed · New evidence file. Pick "Done" when you finish; the Summary updates itself.</t>
  </si>
  <si>
    <t xml:space="preserve">Example</t>
  </si>
  <si>
    <t xml:space="preserve">CS-14 · My status = Done · Date closed = 2026-10-15 · New evidence = cloud_security_1/c4-saml/EVID-Week5-Day4-001.png</t>
  </si>
  <si>
    <t xml:space="preserve">Summary by course (live: counts update from the Requirements sheet)</t>
  </si>
  <si>
    <t xml:space="preserve">Course</t>
  </si>
  <si>
    <t xml:space="preserve">Requirements</t>
  </si>
  <si>
    <t xml:space="preserve">Open (Partial+Gap+Risk+NF)</t>
  </si>
  <si>
    <t xml:space="preserve">Closed by you</t>
  </si>
  <si>
    <t xml:space="preserve">Still open after your updates</t>
  </si>
  <si>
    <t xml:space="preserve">% verified Met</t>
  </si>
  <si>
    <t xml:space="preserve">Cybersecurity Basics 1</t>
  </si>
  <si>
    <t xml:space="preserve">Cyber Threats &amp; Vulnerabilities 1</t>
  </si>
  <si>
    <t xml:space="preserve">Network Security 1</t>
  </si>
  <si>
    <t xml:space="preserve">Cloud Security 1</t>
  </si>
  <si>
    <t xml:space="preserve">Risk Management 1</t>
  </si>
  <si>
    <t xml:space="preserve">Compliance 1</t>
  </si>
  <si>
    <t xml:space="preserve">Incident Response 1</t>
  </si>
  <si>
    <t xml:space="preserve">Capstone (Design Doc v1.2 + board)</t>
  </si>
  <si>
    <t xml:space="preserve">TOTAL</t>
  </si>
  <si>
    <t xml:space="preserve">"Closed by you" counts rows not already Met where you set My status = Done or Instructor accepted.</t>
  </si>
  <si>
    <t xml:space="preserve">ID</t>
  </si>
  <si>
    <t xml:space="preserve">Criterion</t>
  </si>
  <si>
    <t xml:space="preserve">Requirement (one checkable item)</t>
  </si>
  <si>
    <t xml:space="preserve">Status (verified 10/13)</t>
  </si>
  <si>
    <t xml:space="preserve">Evidence found (path)</t>
  </si>
  <si>
    <t xml:space="preserve">Gap / note</t>
  </si>
  <si>
    <t xml:space="preserve">Action to close</t>
  </si>
  <si>
    <t xml:space="preserve">Build task</t>
  </si>
  <si>
    <t xml:space="preserve">Capstone week</t>
  </si>
  <si>
    <t xml:space="preserve">My status</t>
  </si>
  <si>
    <t xml:space="preserve">Date closed</t>
  </si>
  <si>
    <t xml:space="preserve">New evidence file</t>
  </si>
  <si>
    <t xml:space="preserve">CB1-01</t>
  </si>
  <si>
    <t xml:space="preserve">1 Incident Response Plan</t>
  </si>
  <si>
    <t xml:space="preserve">IR plan with &gt;=1 method for detecting incidents</t>
  </si>
  <si>
    <t xml:space="preserve">Capstone equivalent: cloud_security_1/can-secops/IR-Playbook.md</t>
  </si>
  <si>
    <t xml:space="preserve">Course deliverable itself not found (only Desktop/Phishing_Awareness_AC demo)</t>
  </si>
  <si>
    <t xml:space="preserve">Confirm June grade on Schoology; nothing to rebuild if Complete</t>
  </si>
  <si>
    <t xml:space="preserve">B0</t>
  </si>
  <si>
    <t xml:space="preserve">—</t>
  </si>
  <si>
    <t xml:space="preserve">CB1-02</t>
  </si>
  <si>
    <t xml:space="preserve">&gt;=1 containment strategy</t>
  </si>
  <si>
    <t xml:space="preserve">IR-Playbook.md §2</t>
  </si>
  <si>
    <t xml:space="preserve">Same as above</t>
  </si>
  <si>
    <t xml:space="preserve">CB1-03</t>
  </si>
  <si>
    <t xml:space="preserve">Eradication and recovery steps</t>
  </si>
  <si>
    <t xml:space="preserve">IR-Playbook.md; IR1 Section 6</t>
  </si>
  <si>
    <t xml:space="preserve">CB1-04</t>
  </si>
  <si>
    <t xml:space="preserve">Explain &gt;=1 attack type (malware/phishing/ransomware/DoS)</t>
  </si>
  <si>
    <t xml:space="preserve">Desktop/Phishing_Awareness_AC/cybersecurity_basics_1 (phishing awareness demo pptx + scripts)</t>
  </si>
  <si>
    <t xml:space="preserve">Phishing demo found; the plan document was not</t>
  </si>
  <si>
    <t xml:space="preserve">Confirm grade</t>
  </si>
  <si>
    <t xml:space="preserve">CB1-05</t>
  </si>
  <si>
    <t xml:space="preserve">2 Security Policy</t>
  </si>
  <si>
    <t xml:space="preserve">Policy with &gt;=3 security rules/guidelines</t>
  </si>
  <si>
    <t xml:space="preserve">Capstone equivalent: CAN-POL-AC-001 (Compliance 1 Task 2)</t>
  </si>
  <si>
    <t xml:space="preserve">CB1-06</t>
  </si>
  <si>
    <t xml:space="preserve">IR steps for a breach inside the policy</t>
  </si>
  <si>
    <t xml:space="preserve">Compliance 1 Task 5 incident scenario</t>
  </si>
  <si>
    <t xml:space="preserve">CB1-07</t>
  </si>
  <si>
    <t xml:space="preserve">How policies maintain the CIA triad</t>
  </si>
  <si>
    <t xml:space="preserve">Add a CIA-triad paragraph to the capstone policy summary (5 min)</t>
  </si>
  <si>
    <t xml:space="preserve">B11</t>
  </si>
  <si>
    <t xml:space="preserve">CB1-08</t>
  </si>
  <si>
    <t xml:space="preserve">3 Encryption</t>
  </si>
  <si>
    <t xml:space="preserve">AES-encrypted text + decrypted plaintext shown</t>
  </si>
  <si>
    <t xml:space="preserve">Not in capstone evidence</t>
  </si>
  <si>
    <t xml:space="preserve">openssl AES-256 encrypt/decrypt of a synthetic ePHI export (data-at-rest demo for HIPAA §164.312(a)(2)(iv))</t>
  </si>
  <si>
    <t xml:space="preserve">CB1-09</t>
  </si>
  <si>
    <t xml:space="preserve">Text hashed with SHA/MD5</t>
  </si>
  <si>
    <t xml:space="preserve">compliance_1/audit-evidence/EVIDENCE-INDEX-SHA256.txt; IR1 sha256 manifests</t>
  </si>
  <si>
    <t xml:space="preserve">CB1-10</t>
  </si>
  <si>
    <t xml:space="preserve">4 Legal &amp; Ethical</t>
  </si>
  <si>
    <t xml:space="preserve">&gt;=2 relevant laws/regulations</t>
  </si>
  <si>
    <t xml:space="preserve">Compliance 1 Tasks 1 &amp; 5 (HIPAA, PCI DSS, HITECH)</t>
  </si>
  <si>
    <t xml:space="preserve">Capstone equivalent</t>
  </si>
  <si>
    <t xml:space="preserve">CB1-11</t>
  </si>
  <si>
    <t xml:space="preserve">&gt;=1 ethical consideration + how plan upholds it</t>
  </si>
  <si>
    <t xml:space="preserve">Compliance 1 Task 5 ethical decision record</t>
  </si>
  <si>
    <t xml:space="preserve">CTV-01</t>
  </si>
  <si>
    <t xml:space="preserve">1 Analyze Cyber Threats</t>
  </si>
  <si>
    <t xml:space="preserve">Malware sample analyzed in VirusTotal/Any.Run/Hybrid Analysis</t>
  </si>
  <si>
    <t xml:space="preserve">cyber_threats_and_vulnerabilities_1/CAN_Cyber_threats_and_vulnerabilities.pdf (AgentTesla, 34/70)</t>
  </si>
  <si>
    <t xml:space="preserve">Wk 1-2</t>
  </si>
  <si>
    <t xml:space="preserve">CTV-02</t>
  </si>
  <si>
    <t xml:space="preserve">Detection results, behavioral indicators, potential impact documented</t>
  </si>
  <si>
    <t xml:space="preserve">Same PDF; Downloads/HRMC_Simulated_Malware_Incident_Report*.pdf</t>
  </si>
  <si>
    <t xml:space="preserve">Wk 2</t>
  </si>
  <si>
    <t xml:space="preserve">CTV-03</t>
  </si>
  <si>
    <t xml:space="preserve">1 phishing template built with SET in Kali/Parrot</t>
  </si>
  <si>
    <t xml:space="preserve">CAN_Cyber_threats_and_vulnerabilities.pdf (SET credential harvester)</t>
  </si>
  <si>
    <t xml:space="preserve">CTV-04</t>
  </si>
  <si>
    <t xml:space="preserve">1 real APT campaign mapped to MITRE ATT&amp;CK</t>
  </si>
  <si>
    <t xml:space="preserve">Same PDF (SilverTerrier, Orangeworm)</t>
  </si>
  <si>
    <t xml:space="preserve">CTV-05</t>
  </si>
  <si>
    <t xml:space="preserve">2 Vulnerability Assessment</t>
  </si>
  <si>
    <t xml:space="preserve">Nmap/OpenVAS vulnerability scan: configuration, findings summary, classification</t>
  </si>
  <si>
    <t xml:space="preserve">Not in the 3 submitted CTV PDFs. Downloads/Care_Access_Navigator_Cyber_Threats_Report_REVISED*.docx contains example output for a 10.10.x lab that was never built</t>
  </si>
  <si>
    <t xml:space="preserve">Do not submit the REVISED docx output as real evidence</t>
  </si>
  <si>
    <t xml:space="preserve">Check Schoology grade; if needed, run a real scan of systems you own (your Azure VM public IP, Keycloak on localhost) or scanme.nmap.org</t>
  </si>
  <si>
    <t xml:space="preserve">B9</t>
  </si>
  <si>
    <t xml:space="preserve">Wk 6</t>
  </si>
  <si>
    <t xml:space="preserve">CTV-06</t>
  </si>
  <si>
    <t xml:space="preserve">1 asset discovery scan: systems/services, critical assets, network map</t>
  </si>
  <si>
    <t xml:space="preserve">nmap -sn / -sV against your Docker network + Azure VNet; draw the map</t>
  </si>
  <si>
    <t xml:space="preserve">CTV-07</t>
  </si>
  <si>
    <t xml:space="preserve">Methodology and security implications explained</t>
  </si>
  <si>
    <t xml:space="preserve">Write-up with the real scan</t>
  </si>
  <si>
    <t xml:space="preserve">CTV-08</t>
  </si>
  <si>
    <t xml:space="preserve">3 Threat Intelligence</t>
  </si>
  <si>
    <t xml:space="preserve">2 IoCs analyzed with detection methods</t>
  </si>
  <si>
    <t xml:space="preserve">CAN_Cyber_Threat_Vulnerabilities_Assignment_task3.pdf</t>
  </si>
  <si>
    <t xml:space="preserve">CTV-09</t>
  </si>
  <si>
    <t xml:space="preserve">OpenCTI deployed (Docker or system install)</t>
  </si>
  <si>
    <t xml:space="preserve">task3 PDF: "instructor-confirmed: documentation satisfies this stage; live Docker deployment planned"</t>
  </si>
  <si>
    <t xml:space="preserve">Not deployed</t>
  </si>
  <si>
    <t xml:space="preserve">Ask instructor if doc-only is final; if not, deploy OpenCTI docker on your Mac (needs ~8 GB RAM)</t>
  </si>
  <si>
    <t xml:space="preserve">CTV-10</t>
  </si>
  <si>
    <t xml:space="preserve">&gt;=2 connectors configured</t>
  </si>
  <si>
    <t xml:space="preserve">task3 PDF: MITRE ATT&amp;CK + AlienVault OTX "proposed"</t>
  </si>
  <si>
    <t xml:space="preserve">CTV-11</t>
  </si>
  <si>
    <t xml:space="preserve">Platform setup + connector integration documented, usage demo</t>
  </si>
  <si>
    <t xml:space="preserve">Plan only</t>
  </si>
  <si>
    <t xml:space="preserve">CTV-12</t>
  </si>
  <si>
    <t xml:space="preserve">4 Risk Strategies</t>
  </si>
  <si>
    <t xml:space="preserve">2 critical risks identified FROM vulnerability scan results</t>
  </si>
  <si>
    <t xml:space="preserve">Not in submitted PDFs (Risk Mgmt R01-R05 exist but not scan-derived)</t>
  </si>
  <si>
    <t xml:space="preserve">Derive 2 risks from the real B9 scan; add to risk register</t>
  </si>
  <si>
    <t xml:space="preserve">Wk 8</t>
  </si>
  <si>
    <t xml:space="preserve">CTV-13</t>
  </si>
  <si>
    <t xml:space="preserve">Treatment recommendations + mitigation steps</t>
  </si>
  <si>
    <t xml:space="preserve">Same</t>
  </si>
  <si>
    <t xml:space="preserve">CTV-14</t>
  </si>
  <si>
    <t xml:space="preserve">1 risk monitoring procedure</t>
  </si>
  <si>
    <t xml:space="preserve">Only in REVISED docx (unverified)</t>
  </si>
  <si>
    <t xml:space="preserve">Capstone KPI monitor + CAN-ID rules can serve</t>
  </si>
  <si>
    <t xml:space="preserve">Point to Compliance tracker KPI + detect rules</t>
  </si>
  <si>
    <t xml:space="preserve">CTV-15</t>
  </si>
  <si>
    <t xml:space="preserve">5 Monitoring &amp; IR</t>
  </si>
  <si>
    <t xml:space="preserve">1 monitoring use case: detection rules, alert prioritization, response</t>
  </si>
  <si>
    <t xml:space="preserve">Not in CTV PDFs; real equivalents now: Azure alerts (CS C6), CAN-ID-001..005</t>
  </si>
  <si>
    <t xml:space="preserve">Reference CAN-ID-001 brute-force use case</t>
  </si>
  <si>
    <t xml:space="preserve">B6</t>
  </si>
  <si>
    <t xml:space="preserve">CTV-16</t>
  </si>
  <si>
    <t xml:space="preserve">1 IR scenario: classification, response steps, lessons learned</t>
  </si>
  <si>
    <t xml:space="preserve">Downloads/HRMC_Simulated_Malware_Incident_Report_FILLED.docx (status SIMULATED/DRAFT, placeholders)</t>
  </si>
  <si>
    <t xml:space="preserve">Has "&lt;fill from your test timeline&gt;" placeholders</t>
  </si>
  <si>
    <t xml:space="preserve">Check grade; reuse INC-20261020-01 report if needed</t>
  </si>
  <si>
    <t xml:space="preserve">Wk 7</t>
  </si>
  <si>
    <t xml:space="preserve">NS-01</t>
  </si>
  <si>
    <t xml:space="preserve">1 Topologies</t>
  </si>
  <si>
    <t xml:space="preserve">Topology diagram for 1 configuration (LAN)</t>
  </si>
  <si>
    <t xml:space="preserve">network_security_1/CAN_Network_Security_tasks_1_to_5.pdf Fig 1</t>
  </si>
  <si>
    <t xml:space="preserve">Labelled "design complete"</t>
  </si>
  <si>
    <t xml:space="preserve">NS-02</t>
  </si>
  <si>
    <t xml:space="preserve">How topology supports secure communication and management</t>
  </si>
  <si>
    <t xml:space="preserve">NS-03</t>
  </si>
  <si>
    <t xml:space="preserve">2 Protocols &amp; Architecture</t>
  </si>
  <si>
    <t xml:space="preserve">Diagram with OSI + TCP/IP model for 1 device</t>
  </si>
  <si>
    <t xml:space="preserve">Same PDF</t>
  </si>
  <si>
    <t xml:space="preserve">NS-04</t>
  </si>
  <si>
    <t xml:space="preserve">Subnetting for 1 subnet</t>
  </si>
  <si>
    <t xml:space="preserve">Same PDF (/27, /24 plan)</t>
  </si>
  <si>
    <t xml:space="preserve">NS-05</t>
  </si>
  <si>
    <t xml:space="preserve">Secure architecture with specific security protocols</t>
  </si>
  <si>
    <t xml:space="preserve">Same PDF (TLS, OIDC/SAML over TLS)</t>
  </si>
  <si>
    <t xml:space="preserve">NS-06</t>
  </si>
  <si>
    <t xml:space="preserve">3 Security Fundamentals</t>
  </si>
  <si>
    <t xml:space="preserve">1 firewall rule IMPLEMENTED</t>
  </si>
  <si>
    <t xml:space="preserve">NS report says "Not started; rule logic drafted". Real evidence exists: NSG rules (cloud_security_1 screenshots), policy deny re-test, IR1 iptables chain</t>
  </si>
  <si>
    <t xml:space="preserve">Submitted as plan, rubric says implementation</t>
  </si>
  <si>
    <t xml:space="preserve">Backfill: one page pointing to the real NSG/iptables rules</t>
  </si>
  <si>
    <t xml:space="preserve">B8</t>
  </si>
  <si>
    <t xml:space="preserve">Wk 5-6</t>
  </si>
  <si>
    <t xml:space="preserve">NS-07</t>
  </si>
  <si>
    <t xml:space="preserve">1 IDS configuration</t>
  </si>
  <si>
    <t xml:space="preserve">Drafted Suricata rule; real: Defender for Servers P2, sqr-ssh-bruteforce query (CS C6)</t>
  </si>
  <si>
    <t xml:space="preserve">Backfill with Defender/alert-rule config</t>
  </si>
  <si>
    <t xml:space="preserve">NS-08</t>
  </si>
  <si>
    <t xml:space="preserve">1 IPS configuration</t>
  </si>
  <si>
    <t xml:space="preserve">Real: fail2ban ban (INC-20261008-01), iptables recent rate-limit (IR1 §6), Keycloak lockout (after B1)</t>
  </si>
  <si>
    <t xml:space="preserve">Backfill</t>
  </si>
  <si>
    <t xml:space="preserve">NS-09</t>
  </si>
  <si>
    <t xml:space="preserve">1 example of detected events</t>
  </si>
  <si>
    <t xml:space="preserve">cloud_security_1/can-secops/evidence/02-alerts-fired.txt, 10-bruteforce-alert-fired.txt</t>
  </si>
  <si>
    <t xml:space="preserve">Exists in another course pack</t>
  </si>
  <si>
    <t xml:space="preserve">Cross-reference in backfill</t>
  </si>
  <si>
    <t xml:space="preserve">NS-10</t>
  </si>
  <si>
    <t xml:space="preserve">4 Access Control</t>
  </si>
  <si>
    <t xml:space="preserve">&gt;=1 ACL configuration</t>
  </si>
  <si>
    <t xml:space="preserve">Real NSG rules app-sg/data-sg/public-sg (screenshots in cloud_security_1)</t>
  </si>
  <si>
    <t xml:space="preserve">NS report: "not started"</t>
  </si>
  <si>
    <t xml:space="preserve">Backfill + app-gate output</t>
  </si>
  <si>
    <t xml:space="preserve">Wk 3</t>
  </si>
  <si>
    <t xml:space="preserve">NS-11</t>
  </si>
  <si>
    <t xml:space="preserve">1 access control model (MAC/DAC/RBAC)</t>
  </si>
  <si>
    <t xml:space="preserve">NS report §4 (RBAC); RBAC matrix (Downloads/Care_Access_Navigator_RBAC_Matrix.docx)</t>
  </si>
  <si>
    <t xml:space="preserve">Attach app-gate allow/deny matrix</t>
  </si>
  <si>
    <t xml:space="preserve">B2</t>
  </si>
  <si>
    <t xml:space="preserve">NS-12</t>
  </si>
  <si>
    <t xml:space="preserve">1 user access level</t>
  </si>
  <si>
    <t xml:space="preserve">RBAC matrix draft</t>
  </si>
  <si>
    <t xml:space="preserve">Not yet enforced</t>
  </si>
  <si>
    <t xml:space="preserve">B2 results</t>
  </si>
  <si>
    <t xml:space="preserve">NS-13</t>
  </si>
  <si>
    <t xml:space="preserve">5 Wireless</t>
  </si>
  <si>
    <t xml:space="preserve">WPA2/WPA3 configured for 1 network</t>
  </si>
  <si>
    <t xml:space="preserve">Planned only</t>
  </si>
  <si>
    <t xml:space="preserve">No lab wireless</t>
  </si>
  <si>
    <t xml:space="preserve">Screenshot your own router/Mac Wi-Fi security (WPA2/WPA3) + config steps; confirm with instructor</t>
  </si>
  <si>
    <t xml:space="preserve">Wk 5</t>
  </si>
  <si>
    <t xml:space="preserve">NS-14</t>
  </si>
  <si>
    <t xml:space="preserve">WIPS used to prevent unauthorized access</t>
  </si>
  <si>
    <t xml:space="preserve">Hard to do without enterprise Wi-Fi</t>
  </si>
  <si>
    <t xml:space="preserve">Ask instructor if documented design is acceptable</t>
  </si>
  <si>
    <t xml:space="preserve">B0/B8</t>
  </si>
  <si>
    <t xml:space="preserve">NS-15</t>
  </si>
  <si>
    <t xml:space="preserve">6 Tools</t>
  </si>
  <si>
    <t xml:space="preserve">1 Wireshark capture with analysis</t>
  </si>
  <si>
    <t xml:space="preserve">Downloads/Care_Access_Navigator_NetSec_Demo_Evidence/keycloak_login_capture.pcap, tshark_analysis.txt</t>
  </si>
  <si>
    <t xml:space="preserve">Stand-in host 127.0.0.1</t>
  </si>
  <si>
    <t xml:space="preserve">NS-16</t>
  </si>
  <si>
    <t xml:space="preserve">1 network vulnerability scanner report</t>
  </si>
  <si>
    <t xml:space="preserve">NetSec_Demo_Evidence/vuln_scan_report.txt</t>
  </si>
  <si>
    <t xml:space="preserve">Stand-in host</t>
  </si>
  <si>
    <t xml:space="preserve">NS-17</t>
  </si>
  <si>
    <t xml:space="preserve">1 penetration testing tool output</t>
  </si>
  <si>
    <t xml:space="preserve">NetSec_Demo_Evidence/hydra_output.txt</t>
  </si>
  <si>
    <t xml:space="preserve">NS-18</t>
  </si>
  <si>
    <t xml:space="preserve">7 Monitoring &amp; Response</t>
  </si>
  <si>
    <t xml:space="preserve">&gt;=1 security incident identified + IR steps, with logs and screenshots</t>
  </si>
  <si>
    <t xml:space="preserve">network_security_1/CAN_Network_Security_Assignment_task6_task7.pdf; NetSec_Demo_Evidence/ir_log.txt</t>
  </si>
  <si>
    <t xml:space="preserve">Wk 6-7</t>
  </si>
  <si>
    <t xml:space="preserve">CS-01</t>
  </si>
  <si>
    <t xml:space="preserve">1 Fundamentals</t>
  </si>
  <si>
    <t xml:space="preserve">Security concept summary incl. data classification</t>
  </si>
  <si>
    <t xml:space="preserve">cloud_security_1/..._Cloudsecurity_Fundamentals_Shared_Responsibilities.pdf</t>
  </si>
  <si>
    <t xml:space="preserve">CS-02</t>
  </si>
  <si>
    <t xml:space="preserve">Storage encryption settings configured, with screenshots</t>
  </si>
  <si>
    <t xml:space="preserve">Same PDF ("Evidence on file: screenshots ... default encryption")</t>
  </si>
  <si>
    <t xml:space="preserve">PDF is 3 pages; confirm screenshots were attached</t>
  </si>
  <si>
    <t xml:space="preserve">Re-verify submission</t>
  </si>
  <si>
    <t xml:space="preserve">CS-03</t>
  </si>
  <si>
    <t xml:space="preserve">Shared responsibility for IaaS / PaaS / SaaS</t>
  </si>
  <si>
    <t xml:space="preserve">CS-04</t>
  </si>
  <si>
    <t xml:space="preserve">NIST cloud risk assessment, 5 risks with mitigations</t>
  </si>
  <si>
    <t xml:space="preserve">Care_Access_Navigator_Cloud_Risk_Assessment.xlsx</t>
  </si>
  <si>
    <t xml:space="preserve">CS-05</t>
  </si>
  <si>
    <t xml:space="preserve">2 Architecture</t>
  </si>
  <si>
    <t xml:space="preserve">Three-tier diagram: public/private subnets, security groups, NACLs</t>
  </si>
  <si>
    <t xml:space="preserve">..._Cloud_Architecture_Design_Security_Patterns.pdf</t>
  </si>
  <si>
    <t xml:space="preserve">NSG = NACL equivalent</t>
  </si>
  <si>
    <t xml:space="preserve">CS-06</t>
  </si>
  <si>
    <t xml:space="preserve">Hands-on VNet with subnet segmentation + security group rules</t>
  </si>
  <si>
    <t xml:space="preserve">Same PDF; can-vnet-cloudsec1 screenshots</t>
  </si>
  <si>
    <t xml:space="preserve">CS-07</t>
  </si>
  <si>
    <t xml:space="preserve">Two security patterns implemented with steps/screenshots</t>
  </si>
  <si>
    <t xml:space="preserve">Bastion host + zero-trust NSG micro-segmentation</t>
  </si>
  <si>
    <t xml:space="preserve">CS-08</t>
  </si>
  <si>
    <t xml:space="preserve">3 Infrastructure &amp; Containers</t>
  </si>
  <si>
    <t xml:space="preserve">VM hardened: automated patching, host firewall, secure SSH</t>
  </si>
  <si>
    <t xml:space="preserve">cloud_security_1/can-vm-hardening/evidence 01-06</t>
  </si>
  <si>
    <t xml:space="preserve">CS-09</t>
  </si>
  <si>
    <t xml:space="preserve">Secure Dockerfile with best practices</t>
  </si>
  <si>
    <t xml:space="preserve">can-ehr-container/Dockerfile</t>
  </si>
  <si>
    <t xml:space="preserve">CS-10</t>
  </si>
  <si>
    <t xml:space="preserve">Docker security settings configured</t>
  </si>
  <si>
    <t xml:space="preserve">docker-compose.secure.yml; runtime-security-tests.txt</t>
  </si>
  <si>
    <t xml:space="preserve">CS-11</t>
  </si>
  <si>
    <t xml:space="preserve">Container scanned with Trivy, results documented</t>
  </si>
  <si>
    <t xml:space="preserve">trivy-image.txt; reports/baseline vs hardened</t>
  </si>
  <si>
    <t xml:space="preserve">CS-12</t>
  </si>
  <si>
    <t xml:space="preserve">Serverless function with proper IAM role + network isolation</t>
  </si>
  <si>
    <t xml:space="preserve">can-ehr-serverless (managed identity, single role)</t>
  </si>
  <si>
    <t xml:space="preserve">CS-13</t>
  </si>
  <si>
    <t xml:space="preserve">4 IAM</t>
  </si>
  <si>
    <t xml:space="preserve">IAM users, GROUPS, roles with least privilege (in Azure), screenshots</t>
  </si>
  <si>
    <t xml:space="preserve">Criterion_4_IAM_Implementation.pdf: Entra users + app roles; storage role assignments</t>
  </si>
  <si>
    <t xml:space="preserve">No groups</t>
  </si>
  <si>
    <t xml:space="preserve">Entra security groups + Azure RBAC role assignment to a group</t>
  </si>
  <si>
    <t xml:space="preserve">B3</t>
  </si>
  <si>
    <t xml:space="preserve">CS-14</t>
  </si>
  <si>
    <t xml:space="preserve">MFA configured in the cloud, screenshots</t>
  </si>
  <si>
    <t xml:space="preserve">Not in C4 PDF</t>
  </si>
  <si>
    <t xml:space="preserve">Entra Security defaults (or per-user MFA) + Authenticator registration screenshot; Keycloak OTP (B1)</t>
  </si>
  <si>
    <t xml:space="preserve">CS-15</t>
  </si>
  <si>
    <t xml:space="preserve">Custom IAM policy written in JSON</t>
  </si>
  <si>
    <t xml:space="preserve">Not in C4 PDF (Azure Policy JSON exists in C5, but that is governance, not IAM)</t>
  </si>
  <si>
    <t xml:space="preserve">Azure custom role definition JSON, e.g. "CAN Evidence Reader" (read blobs only), assigned to SG-HRMC-Security-Analysts</t>
  </si>
  <si>
    <t xml:space="preserve">CS-16</t>
  </si>
  <si>
    <t xml:space="preserve">ABAC using resource tags</t>
  </si>
  <si>
    <t xml:space="preserve">Role assignment condition: Storage Blob Data Reader only where blob index tag DataClassification = Internal; test allow vs deny</t>
  </si>
  <si>
    <t xml:space="preserve">CS-17</t>
  </si>
  <si>
    <t xml:space="preserve">SAML federation set up + complete workflow documented</t>
  </si>
  <si>
    <t xml:space="preserve">C4 = OIDC only</t>
  </si>
  <si>
    <t xml:space="preserve">Rubric literally says SAML</t>
  </si>
  <si>
    <t xml:space="preserve">Entra ID enterprise app (SAML) -&gt; Keycloak SAML identity provider</t>
  </si>
  <si>
    <t xml:space="preserve">B4</t>
  </si>
  <si>
    <t xml:space="preserve">Wk 3/5</t>
  </si>
  <si>
    <t xml:space="preserve">CS-18</t>
  </si>
  <si>
    <t xml:space="preserve">Evidence of successful (SAML) authentication testing</t>
  </si>
  <si>
    <t xml:space="preserve">OIDC login evidence only</t>
  </si>
  <si>
    <t xml:space="preserve">Login test + captured SAML assertion</t>
  </si>
  <si>
    <t xml:space="preserve">CS-19</t>
  </si>
  <si>
    <t xml:space="preserve">5 Compliance &amp; Governance</t>
  </si>
  <si>
    <t xml:space="preserve">Configs mapped to one framework: checklist + gap analysis + remediation</t>
  </si>
  <si>
    <t xml:space="preserve">Criterion_5_HIPAA_Compliance_Checklist.xlsx</t>
  </si>
  <si>
    <t xml:space="preserve">Wk 9</t>
  </si>
  <si>
    <t xml:space="preserve">CS-20</t>
  </si>
  <si>
    <t xml:space="preserve">Organizations + SCPs (management groups + deny policies)</t>
  </si>
  <si>
    <t xml:space="preserve">can-governance/evidence/00-governance-structure.txt</t>
  </si>
  <si>
    <t xml:space="preserve">CS-21</t>
  </si>
  <si>
    <t xml:space="preserve">Mandatory resource tagging</t>
  </si>
  <si>
    <t xml:space="preserve">can-governance 03/04 tag evidence</t>
  </si>
  <si>
    <t xml:space="preserve">CS-22</t>
  </si>
  <si>
    <t xml:space="preserve">Automated compliance checking with evidence of enforcement</t>
  </si>
  <si>
    <t xml:space="preserve">01-enforcement-tests.txt; 05-compliance-before-after.txt</t>
  </si>
  <si>
    <t xml:space="preserve">CS-23</t>
  </si>
  <si>
    <t xml:space="preserve">6 SecOps &amp; IR</t>
  </si>
  <si>
    <t xml:space="preserve">Centralized logging (CloudTrail + VPC Flow Logs)</t>
  </si>
  <si>
    <t xml:space="preserve">can-secops/evidence/08-monitoring-configuration.txt</t>
  </si>
  <si>
    <t xml:space="preserve">Workspace removed 10/13; evidence still valid</t>
  </si>
  <si>
    <t xml:space="preserve">CS-24</t>
  </si>
  <si>
    <t xml:space="preserve">Automated alerting for security events</t>
  </si>
  <si>
    <t xml:space="preserve">02-alerts-fired.txt; E-LOG-01</t>
  </si>
  <si>
    <t xml:space="preserve">CS-25</t>
  </si>
  <si>
    <t xml:space="preserve">Threat detection (GuardDuty equivalent)</t>
  </si>
  <si>
    <t xml:space="preserve">09-defender-detections.txt (EICAR)</t>
  </si>
  <si>
    <t xml:space="preserve">Defender trial ends 11/07</t>
  </si>
  <si>
    <t xml:space="preserve">CS-26</t>
  </si>
  <si>
    <t xml:space="preserve">Security dashboard with key metrics</t>
  </si>
  <si>
    <t xml:space="preserve">Workbook + Cloud_Security_1:SecOps_Dashboard.png</t>
  </si>
  <si>
    <t xml:space="preserve">Wk 11</t>
  </si>
  <si>
    <t xml:space="preserve">CS-27</t>
  </si>
  <si>
    <t xml:space="preserve">IR playbook (identify/contain/investigate/eradicate/recover) tested with evidence</t>
  </si>
  <si>
    <t xml:space="preserve">IR-Playbook.md + INC-20261008-01 evidence 01-06</t>
  </si>
  <si>
    <t xml:space="preserve">RM-01</t>
  </si>
  <si>
    <t xml:space="preserve">Risk framework doc (NIST RMF / ISO 31000) with threat/vulnerability/asset/control terms</t>
  </si>
  <si>
    <t xml:space="preserve">risk_management_1/..._Criterion_1_*.pdf</t>
  </si>
  <si>
    <t xml:space="preserve">Keyword-verified in the PDF text</t>
  </si>
  <si>
    <t xml:space="preserve">RM-02</t>
  </si>
  <si>
    <t xml:space="preserve">Governance structure: roles, decision authority, escalation</t>
  </si>
  <si>
    <t xml:space="preserve">RM-03</t>
  </si>
  <si>
    <t xml:space="preserve">Regulatory compliance matrix for one industry (HIPAA)</t>
  </si>
  <si>
    <t xml:space="preserve">RM-04</t>
  </si>
  <si>
    <t xml:space="preserve">Visual framework mapping to organization</t>
  </si>
  <si>
    <t xml:space="preserve">RM-05</t>
  </si>
  <si>
    <t xml:space="preserve">2 Assessment Techniques</t>
  </si>
  <si>
    <t xml:space="preserve">Risk identification via brainstorming, checklists, SWOT with facilitation approach</t>
  </si>
  <si>
    <t xml:space="preserve">risk_management_1/..._Criterion_2_*.pdf</t>
  </si>
  <si>
    <t xml:space="preserve">RM-06</t>
  </si>
  <si>
    <t xml:space="preserve">Qualitative 5x5 likelihood x impact matrix</t>
  </si>
  <si>
    <t xml:space="preserve">RM-07</t>
  </si>
  <si>
    <t xml:space="preserve">Quantitative EMV and ALE calculations with data</t>
  </si>
  <si>
    <t xml:space="preserve">RM-08</t>
  </si>
  <si>
    <t xml:space="preserve">Threat and vulnerability assessment</t>
  </si>
  <si>
    <t xml:space="preserve">RM-09</t>
  </si>
  <si>
    <t xml:space="preserve">Risk register with scoring rationale + historical tracking</t>
  </si>
  <si>
    <t xml:space="preserve">RM-10</t>
  </si>
  <si>
    <t xml:space="preserve">3 Evaluation Methods</t>
  </si>
  <si>
    <t xml:space="preserve">Weighted multi-criteria model (financial, operational, compliance, reputation)</t>
  </si>
  <si>
    <t xml:space="preserve">risk_management_1/..._Criterion_3_*.pdf</t>
  </si>
  <si>
    <t xml:space="preserve">RM-11</t>
  </si>
  <si>
    <t xml:space="preserve">BIA with RTO, RPO, MTD, financial impact, dependency mapping</t>
  </si>
  <si>
    <t xml:space="preserve">RM-12</t>
  </si>
  <si>
    <t xml:space="preserve">Evaluation criteria with stakeholder approval</t>
  </si>
  <si>
    <t xml:space="preserve">RM-13</t>
  </si>
  <si>
    <t xml:space="preserve">Critical asset risk exposure register</t>
  </si>
  <si>
    <t xml:space="preserve">RM-14</t>
  </si>
  <si>
    <t xml:space="preserve">4 Mitigation Planning</t>
  </si>
  <si>
    <t xml:space="preserve">Controls from NIST CSF / ISO 27001 with rationale + cost-benefit</t>
  </si>
  <si>
    <t xml:space="preserve">risk_management_1/..._Criterion_4_*.pdf</t>
  </si>
  <si>
    <t xml:space="preserve">RM-15</t>
  </si>
  <si>
    <t xml:space="preserve">All four treatments (mitigate/avoid/transfer/accept) with timelines + resources</t>
  </si>
  <si>
    <t xml:space="preserve">RM-16</t>
  </si>
  <si>
    <t xml:space="preserve">Mitigation strategy aligned to business objectives</t>
  </si>
  <si>
    <t xml:space="preserve">RM-17</t>
  </si>
  <si>
    <t xml:space="preserve">Residual risk after controls + effectiveness measures + monitoring</t>
  </si>
  <si>
    <t xml:space="preserve">RM-18</t>
  </si>
  <si>
    <t xml:space="preserve">5 Communication</t>
  </si>
  <si>
    <t xml:space="preserve">Executive risk report: findings, financial impact, recommendations</t>
  </si>
  <si>
    <t xml:space="preserve">risk_management_1/..._Criterion_5_*.pdf</t>
  </si>
  <si>
    <t xml:space="preserve">RM-19</t>
  </si>
  <si>
    <t xml:space="preserve">Stakeholder communication plan: audience, messaging, schedule</t>
  </si>
  <si>
    <t xml:space="preserve">RM-20</t>
  </si>
  <si>
    <t xml:space="preserve">KPI framework with leading/lagging indicators + review process</t>
  </si>
  <si>
    <t xml:space="preserve">RM-21</t>
  </si>
  <si>
    <t xml:space="preserve">6 Implementation</t>
  </si>
  <si>
    <t xml:space="preserve">Program plan: timelines, resources, phased deployment</t>
  </si>
  <si>
    <t xml:space="preserve">risk_management_1/..._Criterion_6_*.pdf</t>
  </si>
  <si>
    <t xml:space="preserve">RM-22</t>
  </si>
  <si>
    <t xml:space="preserve">Framework implementation: customization, gap analysis, integration</t>
  </si>
  <si>
    <t xml:space="preserve">RM-23</t>
  </si>
  <si>
    <t xml:space="preserve">Risk register with historical tracking</t>
  </si>
  <si>
    <t xml:space="preserve">RM-24</t>
  </si>
  <si>
    <t xml:space="preserve">Visual risk dashboard with metrics, automated alerting, drill-down</t>
  </si>
  <si>
    <t xml:space="preserve">RiskMgmt C5 PDF §4: dashboard DESIGNED (Tableau planned)</t>
  </si>
  <si>
    <t xml:space="preserve">Designed, not built</t>
  </si>
  <si>
    <t xml:space="preserve">Build it as the Week 11 Tableau dashboard and cross-reference</t>
  </si>
  <si>
    <t xml:space="preserve">B10</t>
  </si>
  <si>
    <t xml:space="preserve">RM-25</t>
  </si>
  <si>
    <t xml:space="preserve">Continuous monitoring: automated indicators, threshold alerting, environmental change detection</t>
  </si>
  <si>
    <t xml:space="preserve">RiskMgmt C6 PDF; real change-detection alerts: al-nsg-rule-change, al-role-assignment, al-policy-assignment-del (E-LOG-01)</t>
  </si>
  <si>
    <t xml:space="preserve">Real evidence lives in CS C6</t>
  </si>
  <si>
    <t xml:space="preserve">Add CAN-ID-005 (privilege change) after B6</t>
  </si>
  <si>
    <t xml:space="preserve">CMP-01</t>
  </si>
  <si>
    <t xml:space="preserve">Applicable regulations via 2 frameworks with proper terminology</t>
  </si>
  <si>
    <t xml:space="preserve">compliance_1/Task1 (HIPAA + PCI DSS v4.0.1)</t>
  </si>
  <si>
    <t xml:space="preserve">Not yet pushed to GitHub (compliance_1/ untracked)</t>
  </si>
  <si>
    <t xml:space="preserve">Wk 9-10</t>
  </si>
  <si>
    <t xml:space="preserve">CMP-02</t>
  </si>
  <si>
    <t xml:space="preserve">Compliance requirements analysis using templates + business process mapping</t>
  </si>
  <si>
    <t xml:space="preserve">compliance_1/Task1</t>
  </si>
  <si>
    <t xml:space="preserve">CMP-03</t>
  </si>
  <si>
    <t xml:space="preserve">Basic program plan: roles, responsibilities, implementation timeline</t>
  </si>
  <si>
    <t xml:space="preserve">CMP-04</t>
  </si>
  <si>
    <t xml:space="preserve">Two controls with implementation procedures + testing methods</t>
  </si>
  <si>
    <t xml:space="preserve">CMP-05</t>
  </si>
  <si>
    <t xml:space="preserve">2 Program Development</t>
  </si>
  <si>
    <t xml:space="preserve">Program structure + operational procedures</t>
  </si>
  <si>
    <t xml:space="preserve">compliance_1/Task2</t>
  </si>
  <si>
    <t xml:space="preserve">CMP-06</t>
  </si>
  <si>
    <t xml:space="preserve">Governance model, communication strategy, stakeholders with org chart</t>
  </si>
  <si>
    <t xml:space="preserve">CMP-07</t>
  </si>
  <si>
    <t xml:space="preserve">One policy (standard template) with approval workflow + version control</t>
  </si>
  <si>
    <t xml:space="preserve">compliance_1/Task2 CAN-POL-AC-001</t>
  </si>
  <si>
    <t xml:space="preserve">CMP-08</t>
  </si>
  <si>
    <t xml:space="preserve">Detailed procedure: steps, testing protocols, validation</t>
  </si>
  <si>
    <t xml:space="preserve">compliance_1/Task2 CAN-PRC-AC-002</t>
  </si>
  <si>
    <t xml:space="preserve">CMP-09</t>
  </si>
  <si>
    <t xml:space="preserve">Training plan: outline, delivery, assessment, evidence of design</t>
  </si>
  <si>
    <t xml:space="preserve">CMP-10</t>
  </si>
  <si>
    <t xml:space="preserve">3 Auditing</t>
  </si>
  <si>
    <t xml:space="preserve">Audit plan: scope, methodology, timeline, resources</t>
  </si>
  <si>
    <t xml:space="preserve">compliance_1/Task3 CAN-IA-2026-01</t>
  </si>
  <si>
    <t xml:space="preserve">CMP-11</t>
  </si>
  <si>
    <t xml:space="preserve">Evidence for 3 controls: types, techniques, documentation standards</t>
  </si>
  <si>
    <t xml:space="preserve">compliance_1/Task3 + audit-evidence/ (SHA-256)</t>
  </si>
  <si>
    <t xml:space="preserve">CMP-12</t>
  </si>
  <si>
    <t xml:space="preserve">Assessment with testing methodology + gap analysis</t>
  </si>
  <si>
    <t xml:space="preserve">compliance_1/Task3 (15 tests, 6 findings)</t>
  </si>
  <si>
    <t xml:space="preserve">CMP-13</t>
  </si>
  <si>
    <t xml:space="preserve">Remediation plan: prioritized, timeline, progress tracking</t>
  </si>
  <si>
    <t xml:space="preserve">compliance_1/Task3 §5 + Tracker Remediation sheet</t>
  </si>
  <si>
    <t xml:space="preserve">Strengthen: show remediation PROGRESS (re-test after B1/B7 closes F-01, F-02, F-04, F-05)</t>
  </si>
  <si>
    <t xml:space="preserve">B7</t>
  </si>
  <si>
    <t xml:space="preserve">CMP-14</t>
  </si>
  <si>
    <t xml:space="preserve">4 Documentation &amp; Reporting</t>
  </si>
  <si>
    <t xml:space="preserve">Documentation package: templates, version control, distribution</t>
  </si>
  <si>
    <t xml:space="preserve">compliance_1/Task4 + Tracker Document Register</t>
  </si>
  <si>
    <t xml:space="preserve">CMP-15</t>
  </si>
  <si>
    <t xml:space="preserve">Management compliance status report: exec summary, findings, recommendations</t>
  </si>
  <si>
    <t xml:space="preserve">compliance_1/Task4</t>
  </si>
  <si>
    <t xml:space="preserve">Strengthen: status report v2 + live KPI dashboard</t>
  </si>
  <si>
    <t xml:space="preserve">CMP-16</t>
  </si>
  <si>
    <t xml:space="preserve">Records management: retention schedules + access controls</t>
  </si>
  <si>
    <t xml:space="preserve">compliance_1/Tracker Retention Schedule</t>
  </si>
  <si>
    <t xml:space="preserve">CMP-17</t>
  </si>
  <si>
    <t xml:space="preserve">Monitoring system: KPIs + reporting framework</t>
  </si>
  <si>
    <t xml:space="preserve">compliance_1/Tracker KPI Monitor + Dashboard</t>
  </si>
  <si>
    <t xml:space="preserve">CMP-18</t>
  </si>
  <si>
    <t xml:space="preserve">5 Legal &amp; Ethical</t>
  </si>
  <si>
    <t xml:space="preserve">Legal requirements researched: obligations matrix + citations</t>
  </si>
  <si>
    <t xml:space="preserve">compliance_1/Task5</t>
  </si>
  <si>
    <t xml:space="preserve">CMP-19</t>
  </si>
  <si>
    <t xml:space="preserve">Ethical framework applied: decision process + rationale</t>
  </si>
  <si>
    <t xml:space="preserve">CMP-20</t>
  </si>
  <si>
    <t xml:space="preserve">Compliance risk assessment: identification, impact, treatment</t>
  </si>
  <si>
    <t xml:space="preserve">CMP-21</t>
  </si>
  <si>
    <t xml:space="preserve">One compliance incident: classification, reporting, follow-up</t>
  </si>
  <si>
    <t xml:space="preserve">Strengthen: compliance incident from the real B6 simulation (leaver re-use = HIPAA §164.308(a)(3)(ii)(C) incident)</t>
  </si>
  <si>
    <t xml:space="preserve">IR-01</t>
  </si>
  <si>
    <t xml:space="preserve">1 Environment Setup</t>
  </si>
  <si>
    <t xml:space="preserve">Wazuh SIEM installed/configured on Parrot OS (VirtualBox)</t>
  </si>
  <si>
    <t xml:space="preserve">IR1 Section 1: Python engine evaluating Wazuh-syntax rules</t>
  </si>
  <si>
    <t xml:space="preserve">No Wazuh server/dashboard, no Parrot/VirtualBox</t>
  </si>
  <si>
    <t xml:space="preserve">Get written instructor acceptance; Plan B in roadmap §4</t>
  </si>
  <si>
    <t xml:space="preserve">IR-02</t>
  </si>
  <si>
    <t xml:space="preserve">Evidence of basic agent deployment</t>
  </si>
  <si>
    <t xml:space="preserve">No Wazuh agent</t>
  </si>
  <si>
    <t xml:space="preserve">IR-03</t>
  </si>
  <si>
    <t xml:space="preserve">Log collection configured from Parrot OS</t>
  </si>
  <si>
    <t xml:space="preserve">Section 1: sshd/sudo/useradd logs (Parrot-equivalent Linux)</t>
  </si>
  <si>
    <t xml:space="preserve">IR-04</t>
  </si>
  <si>
    <t xml:space="preserve">3 custom alert rules</t>
  </si>
  <si>
    <t xml:space="preserve">Downloads/..._IR1_Section1_Evidence/rules/wazuh_local_rules.xml</t>
  </si>
  <si>
    <t xml:space="preserve">IR-05</t>
  </si>
  <si>
    <t xml:space="preserve">Wireshark configured with capture filters</t>
  </si>
  <si>
    <t xml:space="preserve">tshark capture filters; ssh_bruteforce_capture.pcap</t>
  </si>
  <si>
    <t xml:space="preserve">tshark = Wireshark CLI</t>
  </si>
  <si>
    <t xml:space="preserve">IR-06</t>
  </si>
  <si>
    <t xml:space="preserve">Volatility configured for memory analysis</t>
  </si>
  <si>
    <t xml:space="preserve">volatility3_version.txt / volatility3_help.txt</t>
  </si>
  <si>
    <t xml:space="preserve">IR-07</t>
  </si>
  <si>
    <t xml:space="preserve">Parrot + macOS logs ingested into the Wazuh dashboard</t>
  </si>
  <si>
    <t xml:space="preserve">macOS logs = labeled sample; no dashboard</t>
  </si>
  <si>
    <t xml:space="preserve">IR-08</t>
  </si>
  <si>
    <t xml:space="preserve">2 Detection &amp; Analysis</t>
  </si>
  <si>
    <t xml:space="preserve">Parrot + macOS logs analyzed with methodology + findings</t>
  </si>
  <si>
    <t xml:space="preserve">Section 2</t>
  </si>
  <si>
    <t xml:space="preserve">macOS side is a sample</t>
  </si>
  <si>
    <t xml:space="preserve">IR-09</t>
  </si>
  <si>
    <t xml:space="preserve">1 suspicious login investigated: host&lt;-&gt;Parrot correlation, timeline, alert validation</t>
  </si>
  <si>
    <t xml:space="preserve">Section 2 (nurse_jsmith)</t>
  </si>
  <si>
    <t xml:space="preserve">IR-10</t>
  </si>
  <si>
    <t xml:space="preserve">3 incidents classified with severity matrix</t>
  </si>
  <si>
    <t xml:space="preserve">Section 2 (High/Critical/High)</t>
  </si>
  <si>
    <t xml:space="preserve">IR-11</t>
  </si>
  <si>
    <t xml:space="preserve">3 Response &amp; Containment</t>
  </si>
  <si>
    <t xml:space="preserve">Network isolation: interface configuration</t>
  </si>
  <si>
    <t xml:space="preserve">Section 3 containment/01, 03</t>
  </si>
  <si>
    <t xml:space="preserve">veth instead of VirtualBox NIC</t>
  </si>
  <si>
    <t xml:space="preserve">IR-12</t>
  </si>
  <si>
    <t xml:space="preserve">Basic firewall rules implemented</t>
  </si>
  <si>
    <t xml:space="preserve">Section 3 containment/02 (iptables)</t>
  </si>
  <si>
    <t xml:space="preserve">IR-13</t>
  </si>
  <si>
    <t xml:space="preserve">Network segmentation using VirtualBox networking</t>
  </si>
  <si>
    <t xml:space="preserve">No VirtualBox</t>
  </si>
  <si>
    <t xml:space="preserve">IR-14</t>
  </si>
  <si>
    <t xml:space="preserve">Evidence preservation: FS artifacts, network captures, memory dumps</t>
  </si>
  <si>
    <t xml:space="preserve">Section 3 evidence/ + sha256_manifest.txt</t>
  </si>
  <si>
    <t xml:space="preserve">IR-15</t>
  </si>
  <si>
    <t xml:space="preserve">Containment playbook: host isolation (VirtualBox), traffic blocking, service shutdown</t>
  </si>
  <si>
    <t xml:space="preserve">Section 3 playbook</t>
  </si>
  <si>
    <t xml:space="preserve">Host isolation step is not VirtualBox</t>
  </si>
  <si>
    <t xml:space="preserve">IR-16</t>
  </si>
  <si>
    <t xml:space="preserve">4 Digital Evidence</t>
  </si>
  <si>
    <t xml:space="preserve">Live collection: system state, processes, network connections</t>
  </si>
  <si>
    <t xml:space="preserve">Section 4 (ps/ss/who/last)</t>
  </si>
  <si>
    <t xml:space="preserve">Section 4 package not on your computer</t>
  </si>
  <si>
    <t xml:space="preserve">Download Section 4-6 packages from the IR 1 chat</t>
  </si>
  <si>
    <t xml:space="preserve">IR-17</t>
  </si>
  <si>
    <t xml:space="preserve">Volatility memory analysis performed</t>
  </si>
  <si>
    <t xml:space="preserve">Section 4: process core via gdb/strings; full-RAM Volatility blocked</t>
  </si>
  <si>
    <t xml:space="preserve">IR-18</t>
  </si>
  <si>
    <t xml:space="preserve">Disk acquisition with imaging tools</t>
  </si>
  <si>
    <t xml:space="preserve">Section 4: dd + matching SHA-256</t>
  </si>
  <si>
    <t xml:space="preserve">IR-19</t>
  </si>
  <si>
    <t xml:space="preserve">Chain of custody for all evidence</t>
  </si>
  <si>
    <t xml:space="preserve">Section 4 (EVID-IR1-001..008)</t>
  </si>
  <si>
    <t xml:space="preserve">IR-20</t>
  </si>
  <si>
    <t xml:space="preserve">Timeline incorporating macOS + Parrot logs</t>
  </si>
  <si>
    <t xml:space="preserve">macOS = sample</t>
  </si>
  <si>
    <t xml:space="preserve">IR-21</t>
  </si>
  <si>
    <t xml:space="preserve">5 Documentation &amp; Reporting</t>
  </si>
  <si>
    <t xml:space="preserve">IR playbook: common incidents, tool commands, evidence steps</t>
  </si>
  <si>
    <t xml:space="preserve">Section 5 Part A</t>
  </si>
  <si>
    <t xml:space="preserve">Not on your computer</t>
  </si>
  <si>
    <t xml:space="preserve">Download</t>
  </si>
  <si>
    <t xml:space="preserve">IR-22</t>
  </si>
  <si>
    <t xml:space="preserve">Incident tracking system implemented</t>
  </si>
  <si>
    <t xml:space="preserve">Section 5 incident_tracking_log.csv</t>
  </si>
  <si>
    <t xml:space="preserve">Strengthen: Monday "Incidents" group</t>
  </si>
  <si>
    <t xml:space="preserve">Optional Monday group</t>
  </si>
  <si>
    <t xml:space="preserve">IR-23</t>
  </si>
  <si>
    <t xml:space="preserve">Complete incident report for 1 event (standard format)</t>
  </si>
  <si>
    <t xml:space="preserve">Section 5 Part C</t>
  </si>
  <si>
    <t xml:space="preserve">IR-24</t>
  </si>
  <si>
    <t xml:space="preserve">Documentation of IR tools + procedures with usage</t>
  </si>
  <si>
    <t xml:space="preserve">Sections 1-5</t>
  </si>
  <si>
    <t xml:space="preserve">IR-25</t>
  </si>
  <si>
    <t xml:space="preserve">6 Post-Incident</t>
  </si>
  <si>
    <t xml:space="preserve">Recovery: VirtualBox environment restoration</t>
  </si>
  <si>
    <t xml:space="preserve">No VirtualBox snapshots</t>
  </si>
  <si>
    <t xml:space="preserve">IR-26</t>
  </si>
  <si>
    <t xml:space="preserve">Parrot OS system recovery + network configuration recovery</t>
  </si>
  <si>
    <t xml:space="preserve">Section 6 recovery</t>
  </si>
  <si>
    <t xml:space="preserve">IR-27</t>
  </si>
  <si>
    <t xml:space="preserve">Root cause analysis: timeline, contributing factors, technical findings</t>
  </si>
  <si>
    <t xml:space="preserve">Section 6 (5-Whys)</t>
  </si>
  <si>
    <t xml:space="preserve">IR-28</t>
  </si>
  <si>
    <t xml:space="preserve">Recovery validation checklist with testing</t>
  </si>
  <si>
    <t xml:space="preserve">Section 6 (7 live checks)</t>
  </si>
  <si>
    <t xml:space="preserve">IR-29</t>
  </si>
  <si>
    <t xml:space="preserve">Process-improvement recommendations</t>
  </si>
  <si>
    <t xml:space="preserve">Section 6 (6 recommendations)</t>
  </si>
  <si>
    <t xml:space="preserve">CAP-01</t>
  </si>
  <si>
    <t xml:space="preserve">Scope &amp; planning</t>
  </si>
  <si>
    <t xml:space="preserve">Charter, scope, stakeholders, requirements matrix, asset inventory (Wk 1)</t>
  </si>
  <si>
    <t xml:space="preserve">semester_3/.../01_Docs/HRMC_Day1-4 PDFs</t>
  </si>
  <si>
    <t xml:space="preserve">Wk 1</t>
  </si>
  <si>
    <t xml:space="preserve">CAP-02</t>
  </si>
  <si>
    <t xml:space="preserve">Lab boundaries, naming standards, workspace structure (Wk 2 D1)</t>
  </si>
  <si>
    <t xml:space="preserve">01_Docs/02_Naming_Standards, 03_Lab_Boundaries</t>
  </si>
  <si>
    <t xml:space="preserve">CAP-03</t>
  </si>
  <si>
    <t xml:space="preserve">Architecture</t>
  </si>
  <si>
    <t xml:space="preserve">Lucidchart architecture + data-flow diagram</t>
  </si>
  <si>
    <t xml:space="preserve">HRMC_Day4 PDF; 02_Diagrams/01_Architecture/*.png</t>
  </si>
  <si>
    <t xml:space="preserve">CAP-04</t>
  </si>
  <si>
    <t xml:space="preserve">Workflow diagrams: access request, JML, incident (Lucidchart)</t>
  </si>
  <si>
    <t xml:space="preserve">02_Diagrams/02_Workflows has only test.txt</t>
  </si>
  <si>
    <t xml:space="preserve">Draw 3 workflows from B5/B6 steps</t>
  </si>
  <si>
    <t xml:space="preserve">B5</t>
  </si>
  <si>
    <t xml:space="preserve">Wk 3-4</t>
  </si>
  <si>
    <t xml:space="preserve">CAP-05</t>
  </si>
  <si>
    <t xml:space="preserve">IAM</t>
  </si>
  <si>
    <t xml:space="preserve">Keycloak realm, 7 roles, 4 app clients, 7 test users</t>
  </si>
  <si>
    <t xml:space="preserve">compliance_1/audit-evidence/E-AC-01</t>
  </si>
  <si>
    <t xml:space="preserve">CAP-06</t>
  </si>
  <si>
    <t xml:space="preserve">RBAC matrix (role x app x permission)</t>
  </si>
  <si>
    <t xml:space="preserve">Downloads/Care_Access_Navigator_RBAC_Matrix.docx (draft, 3 open questions)</t>
  </si>
  <si>
    <t xml:space="preserve">Draft, not in project folder</t>
  </si>
  <si>
    <t xml:space="preserve">Answer open questions; finalize; enforce via app-gate</t>
  </si>
  <si>
    <t xml:space="preserve">CAP-07</t>
  </si>
  <si>
    <t xml:space="preserve">Least privilege + separation-of-duties decisions documented</t>
  </si>
  <si>
    <t xml:space="preserve">Client scopes fullScopeAllowed=false</t>
  </si>
  <si>
    <t xml:space="preserve">No SoD conflict table</t>
  </si>
  <si>
    <t xml:space="preserve">SoD table: e.g. HR cannot approve own access; Billing x Clinician toxic combo</t>
  </si>
  <si>
    <t xml:space="preserve">CAP-08</t>
  </si>
  <si>
    <t xml:space="preserve">Access request + approval workflow</t>
  </si>
  <si>
    <t xml:space="preserve">Monday form + manager approval + ticket IDs</t>
  </si>
  <si>
    <t xml:space="preserve">CAP-09</t>
  </si>
  <si>
    <t xml:space="preserve">Joiner, Mover, Leaver executed with evidence</t>
  </si>
  <si>
    <t xml:space="preserve">can_iam.py joiner/mover/leaver</t>
  </si>
  <si>
    <t xml:space="preserve">Wk 4</t>
  </si>
  <si>
    <t xml:space="preserve">CAP-10</t>
  </si>
  <si>
    <t xml:space="preserve">Periodic access review with remediation + sign-off</t>
  </si>
  <si>
    <t xml:space="preserve">can_iam.py review + reviewer decisions</t>
  </si>
  <si>
    <t xml:space="preserve">CAP-11</t>
  </si>
  <si>
    <t xml:space="preserve">Authentication baseline: password, lockout, MFA, sessions</t>
  </si>
  <si>
    <t xml:space="preserve">E-AC-02 shows weak settings</t>
  </si>
  <si>
    <t xml:space="preserve">can_iam.py harden</t>
  </si>
  <si>
    <t xml:space="preserve">B1</t>
  </si>
  <si>
    <t xml:space="preserve">CAP-12</t>
  </si>
  <si>
    <t xml:space="preserve">Privileged access matrix (admin roles, approval, expiry, monitoring)</t>
  </si>
  <si>
    <t xml:space="preserve">Board Wk 5 D2 In Progress</t>
  </si>
  <si>
    <t xml:space="preserve">1-page matrix: realm admin, Azure Owner, IT-Support, Security-Analyst</t>
  </si>
  <si>
    <t xml:space="preserve">CAP-13</t>
  </si>
  <si>
    <t xml:space="preserve">Service + vendor identity register (owner, purpose, expiry)</t>
  </si>
  <si>
    <t xml:space="preserve">id-can-func managed identity (storage-iam.txt); vendor role</t>
  </si>
  <si>
    <t xml:space="preserve">No register</t>
  </si>
  <si>
    <t xml:space="preserve">Register sheet in Tracker; vendor end dates via joiner --end-date</t>
  </si>
  <si>
    <t xml:space="preserve">CAP-14</t>
  </si>
  <si>
    <t xml:space="preserve">Break-glass emergency access concept + governance</t>
  </si>
  <si>
    <t xml:space="preserve">Key feature in design doc</t>
  </si>
  <si>
    <t xml:space="preserve">bg-admin-01 in master realm, sealed credential, alert on use, exception entry</t>
  </si>
  <si>
    <t xml:space="preserve">CAP-15</t>
  </si>
  <si>
    <t xml:space="preserve">Federation: OIDC SSO Keycloak &lt;-&gt; Entra ID</t>
  </si>
  <si>
    <t xml:space="preserve">CloudSec C4 PDF + keycloak-entra-role-fix/</t>
  </si>
  <si>
    <t xml:space="preserve">Wk 2-3</t>
  </si>
  <si>
    <t xml:space="preserve">CAP-16</t>
  </si>
  <si>
    <t xml:space="preserve">Federation: SAML 2.0</t>
  </si>
  <si>
    <t xml:space="preserve">Required by CloudSec C4</t>
  </si>
  <si>
    <t xml:space="preserve">Entra SAML -&gt; Keycloak</t>
  </si>
  <si>
    <t xml:space="preserve">CAP-17</t>
  </si>
  <si>
    <t xml:space="preserve">IAM sync: Entra -&gt; Keycloak deprovisioning gap handled</t>
  </si>
  <si>
    <t xml:space="preserve">Role sync FORCE on login; no SCIM</t>
  </si>
  <si>
    <t xml:space="preserve">Disabled Entra user keeps Keycloak account</t>
  </si>
  <si>
    <t xml:space="preserve">Federated leaver procedure (both sides)</t>
  </si>
  <si>
    <t xml:space="preserve">CAP-18</t>
  </si>
  <si>
    <t xml:space="preserve">Monitoring</t>
  </si>
  <si>
    <t xml:space="preserve">&gt;=3 identity detection use cases tested with controlled events</t>
  </si>
  <si>
    <t xml:space="preserve">Azure-side alerts only</t>
  </si>
  <si>
    <t xml:space="preserve">can_iam.py detect (5 rules) after B6</t>
  </si>
  <si>
    <t xml:space="preserve">CAP-19</t>
  </si>
  <si>
    <t xml:space="preserve">Alert severity + triage procedure</t>
  </si>
  <si>
    <t xml:space="preserve">IR-Playbook.md §0; IR1 severity matrix</t>
  </si>
  <si>
    <t xml:space="preserve">CAP-20</t>
  </si>
  <si>
    <t xml:space="preserve">Log retention &gt;= 12 months (F-03)</t>
  </si>
  <si>
    <t xml:space="preserve">Workspace removed 10/13</t>
  </si>
  <si>
    <t xml:space="preserve">Diagnostic setting -&gt; storage archive 365 d (cheap)</t>
  </si>
  <si>
    <t xml:space="preserve">Wk 10</t>
  </si>
  <si>
    <t xml:space="preserve">CAP-21</t>
  </si>
  <si>
    <t xml:space="preserve">Incident</t>
  </si>
  <si>
    <t xml:space="preserve">End-to-end simulated ePHI access incident in the IAM environment</t>
  </si>
  <si>
    <t xml:space="preserve">Wk 7 D1: "yet to create access and privileges"</t>
  </si>
  <si>
    <t xml:space="preserve">INC-20261020-01</t>
  </si>
  <si>
    <t xml:space="preserve">CAP-22</t>
  </si>
  <si>
    <t xml:space="preserve">Root cause + lessons learned for capstone incident</t>
  </si>
  <si>
    <t xml:space="preserve">Reuse IR1 §6 RCA template</t>
  </si>
  <si>
    <t xml:space="preserve">CAP-23</t>
  </si>
  <si>
    <t xml:space="preserve">GRC</t>
  </si>
  <si>
    <t xml:space="preserve">Risk register with scoring, owners, treatment</t>
  </si>
  <si>
    <t xml:space="preserve">RiskMgmt C2-C4; tableau_dataset/risks.csv</t>
  </si>
  <si>
    <t xml:space="preserve">Update residual scores after fixes</t>
  </si>
  <si>
    <t xml:space="preserve">CAP-24</t>
  </si>
  <si>
    <t xml:space="preserve">Control inventory / control matrix with IDs</t>
  </si>
  <si>
    <t xml:space="preserve">Audit controls AC-01, LOG-01, ENC-01; HIPAA checklist</t>
  </si>
  <si>
    <t xml:space="preserve">No single control matrix</t>
  </si>
  <si>
    <t xml:space="preserve">Control matrix sheet (ID, objective, HIPAA, NIST CSF, ISO 27001, test, evidence)</t>
  </si>
  <si>
    <t xml:space="preserve">CAP-25</t>
  </si>
  <si>
    <t xml:space="preserve">HIPAA + NIST mapping</t>
  </si>
  <si>
    <t xml:space="preserve">HIPAA checklist (NIST CSF 2.0 column)</t>
  </si>
  <si>
    <t xml:space="preserve">CAP-26</t>
  </si>
  <si>
    <t xml:space="preserve">Gap assessment</t>
  </si>
  <si>
    <t xml:space="preserve">Audit CAN-IA-2026-01 + Readiness Audit</t>
  </si>
  <si>
    <t xml:space="preserve">CAP-27</t>
  </si>
  <si>
    <t xml:space="preserve">Evidence index (artifact, control, location, owner, completeness)</t>
  </si>
  <si>
    <t xml:space="preserve">Compliance Evidence Register (7 items)</t>
  </si>
  <si>
    <t xml:space="preserve">Covers audit only</t>
  </si>
  <si>
    <t xml:space="preserve">Extend to all capstone evidence</t>
  </si>
  <si>
    <t xml:space="preserve">CAP-28</t>
  </si>
  <si>
    <t xml:space="preserve">Sample control tests (pass/fail, tester, date)</t>
  </si>
  <si>
    <t xml:space="preserve">Audit Task3 (14 tests)</t>
  </si>
  <si>
    <t xml:space="preserve">Re-test after fixes</t>
  </si>
  <si>
    <t xml:space="preserve">CAP-29</t>
  </si>
  <si>
    <t xml:space="preserve">Exception register</t>
  </si>
  <si>
    <t xml:space="preserve">F-03, F-06, break-glass, IR1 substitution, OpenCTI</t>
  </si>
  <si>
    <t xml:space="preserve">CAP-30</t>
  </si>
  <si>
    <t xml:space="preserve">Corrective actions tracked to verification</t>
  </si>
  <si>
    <t xml:space="preserve">Tracker Remediation sheet</t>
  </si>
  <si>
    <t xml:space="preserve">No verification yet</t>
  </si>
  <si>
    <t xml:space="preserve">Close F-01/02/04/05 with re-test evidence</t>
  </si>
  <si>
    <t xml:space="preserve">CAP-31</t>
  </si>
  <si>
    <t xml:space="preserve">ISO/IEC 27001 Statement of Applicability + POA&amp;M (audit-ready)</t>
  </si>
  <si>
    <t xml:space="preserve">SoA + POA&amp;M sheets</t>
  </si>
  <si>
    <t xml:space="preserve">CAP-32</t>
  </si>
  <si>
    <t xml:space="preserve">Reporting</t>
  </si>
  <si>
    <t xml:space="preserve">Integrated Tableau dashboard (IAM + incident + GRC)</t>
  </si>
  <si>
    <t xml:space="preserve">tableau_dataset/ starter</t>
  </si>
  <si>
    <t xml:space="preserve">Build</t>
  </si>
  <si>
    <t xml:space="preserve">CAP-33</t>
  </si>
  <si>
    <t xml:space="preserve">Portfolio</t>
  </si>
  <si>
    <t xml:space="preserve">Sanitized artifacts + scripts + realm export pushed to GitHub</t>
  </si>
  <si>
    <t xml:space="preserve">Repo at origin/main 10/12; Semester_3 subfolders are test.txt placeholders; compliance_1, IR1, capstone_next_steps not pushed</t>
  </si>
  <si>
    <t xml:space="preserve">Populate folders; push; no secrets/.env</t>
  </si>
  <si>
    <t xml:space="preserve">Wk 12</t>
  </si>
  <si>
    <t xml:space="preserve">CAP-34</t>
  </si>
  <si>
    <t xml:space="preserve">End-to-end test log (expected vs actual)</t>
  </si>
  <si>
    <t xml:space="preserve">Re-run all verify commands</t>
  </si>
  <si>
    <t xml:space="preserve">B12</t>
  </si>
  <si>
    <t xml:space="preserve">CAP-35</t>
  </si>
  <si>
    <t xml:space="preserve">5-minute demo + presentation</t>
  </si>
  <si>
    <t xml:space="preserve">Script in roadmap</t>
  </si>
  <si>
    <t xml:space="preserve">CAP-36</t>
  </si>
  <si>
    <t xml:space="preserve">Hygiene</t>
  </si>
  <si>
    <t xml:space="preserve">Monday board reflects actual status</t>
  </si>
  <si>
    <t xml:space="preserve">Board export 10/13</t>
  </si>
  <si>
    <t xml:space="preserve">Several items lag</t>
  </si>
  <si>
    <t xml:space="preserve">Update per roadmap §6</t>
  </si>
  <si>
    <t xml:space="preserve">all</t>
  </si>
  <si>
    <t xml:space="preserve">CAP-37</t>
  </si>
  <si>
    <t xml:space="preserve">Cost/cleanup: Defender trial (11/07), ACR admin creds, idle resources</t>
  </si>
  <si>
    <t xml:space="preserve">Return Defender to Free after demo evidence; disable ACR admin</t>
  </si>
  <si>
    <t xml:space="preserve">October build plan: each task closes capstone work AND course rubric items at the same time</t>
  </si>
  <si>
    <t xml:space="preserve">Task</t>
  </si>
  <si>
    <t xml:space="preserve">When</t>
  </si>
  <si>
    <t xml:space="preserve">What you produce</t>
  </si>
  <si>
    <t xml:space="preserve">Requirement IDs it closes</t>
  </si>
  <si>
    <t xml:space="preserve">Open items closed (live)</t>
  </si>
  <si>
    <t xml:space="preserve">Courses served</t>
  </si>
  <si>
    <t xml:space="preserve">Wed 10/14</t>
  </si>
  <si>
    <t xml:space="preserve">Housekeeping &amp; instructor confirmations</t>
  </si>
  <si>
    <t xml:space="preserve">Save IR 1 Sections 1-6 into incidence response_1/; one message to instructors (IR 1 tool substitution, NetSec 3-5 status, CTV OpenCTI); Monday board updates</t>
  </si>
  <si>
    <t xml:space="preserve">CB1-01, CB1-02, CB1-03, CB1-04, CB1-05, CB1-06, NS-14, IR-01, IR-02, IR-07, IR-08, IR-13, IR-15, IR-16, IR-17, IR-18, IR-19, IR-20, IR-21, IR-23, IR-24, IR-25, IR-26, IR-27, IR-28, IR-29, CAP-36</t>
  </si>
  <si>
    <t xml:space="preserve">Capstone; Cybersecurity Basics 1; Incident Response 1; Network Security 1</t>
  </si>
  <si>
    <t xml:space="preserve">Keycloak hardening + RBAC groups</t>
  </si>
  <si>
    <t xml:space="preserve">can_iam.py harden --migrate: MFA for privileged roles, lockout, 12-char policy, 7 HRMC-* groups (before/after evidence)</t>
  </si>
  <si>
    <t xml:space="preserve">Capstone</t>
  </si>
  <si>
    <t xml:space="preserve">Application access gate + RBAC test matrix</t>
  </si>
  <si>
    <t xml:space="preserve">can_iam.py app-gate + verify: allow/deny matrix per role per app</t>
  </si>
  <si>
    <t xml:space="preserve">NS-11, NS-12, CAP-06, CAP-07</t>
  </si>
  <si>
    <t xml:space="preserve">Capstone; Network Security 1</t>
  </si>
  <si>
    <t xml:space="preserve">Thu 10/15</t>
  </si>
  <si>
    <t xml:space="preserve">Entra ID + Azure IAM build-out</t>
  </si>
  <si>
    <t xml:space="preserve">7 Entra users, 7 security groups, Security defaults MFA, Azure custom role (JSON), ABAC condition on storage tags, least-privilege role assignments</t>
  </si>
  <si>
    <t xml:space="preserve">CS-13, CS-14, CS-15, CS-16, CAP-12</t>
  </si>
  <si>
    <t xml:space="preserve">Capstone; Cloud Security 1</t>
  </si>
  <si>
    <t xml:space="preserve">Fri 10/16</t>
  </si>
  <si>
    <t xml:space="preserve">SAML federation (Entra ID -&gt; Keycloak)</t>
  </si>
  <si>
    <t xml:space="preserve">Entra enterprise app (SAML) as 2nd IdP in Keycloak; login test; SAML-tracer/assertion evidence</t>
  </si>
  <si>
    <t xml:space="preserve">CS-17, CS-18, CAP-16</t>
  </si>
  <si>
    <t xml:space="preserve">Mon 10/19</t>
  </si>
  <si>
    <t xml:space="preserve">Access request + Joiner/Mover/Leaver</t>
  </si>
  <si>
    <t xml:space="preserve">Monday access-request form; can_iam.py joiner/mover/leaver (local + federated leaver)</t>
  </si>
  <si>
    <t xml:space="preserve">CAP-04, CAP-08, CAP-09, CAP-13, CAP-17</t>
  </si>
  <si>
    <t xml:space="preserve">Tue 10/20</t>
  </si>
  <si>
    <t xml:space="preserve">Identity attack simulation INC-20261020-01</t>
  </si>
  <si>
    <t xml:space="preserve">Password spray, unapproved app, leaver reuse, privilege escalation; can_iam.py detect; containment; IR report; RCA</t>
  </si>
  <si>
    <t xml:space="preserve">CTV-15, CTV-16, RM-25, IR-22, CAP-14, CAP-18, CAP-21, CAP-22</t>
  </si>
  <si>
    <t xml:space="preserve">Capstone; Cyber Threats &amp; Vulnerabilities 1; Incident Response 1; Risk Management 1</t>
  </si>
  <si>
    <t xml:space="preserve">Wed 10/21</t>
  </si>
  <si>
    <t xml:space="preserve">Access review + compliance re-test</t>
  </si>
  <si>
    <t xml:space="preserve">can_iam.py review + sign-off; re-run audit tests (F-01..F-06); compliance status report v2; compliance incident record</t>
  </si>
  <si>
    <t xml:space="preserve">CMP-13, CMP-21, CAP-10, CAP-23, CAP-28, CAP-30</t>
  </si>
  <si>
    <t xml:space="preserve">Capstone; Compliance 1</t>
  </si>
  <si>
    <t xml:space="preserve">Thu 10/22</t>
  </si>
  <si>
    <t xml:space="preserve">Network Security backfill pack</t>
  </si>
  <si>
    <t xml:space="preserve">Turn real evidence (NSG rules, Defender, fail2ban/iptables, app gate) into the "implemented" NS 3-5 evidence; Wi-Fi WPA2/3 evidence</t>
  </si>
  <si>
    <t xml:space="preserve">NS-06, NS-07, NS-08, NS-09, NS-10, NS-13, NS-14</t>
  </si>
  <si>
    <t xml:space="preserve">Fri 10/23</t>
  </si>
  <si>
    <t xml:space="preserve">Cyber Threats backfill</t>
  </si>
  <si>
    <t xml:space="preserve">Real Nmap vuln + discovery scan of systems you own; 2 critical risks from results; OpenCTI decision (deploy or confirmed doc-only)</t>
  </si>
  <si>
    <t xml:space="preserve">CTV-05, CTV-06, CTV-07, CTV-09, CTV-10, CTV-11, CTV-12, CTV-13, CTV-14</t>
  </si>
  <si>
    <t xml:space="preserve">Mon-Tue 10/26-27</t>
  </si>
  <si>
    <t xml:space="preserve">Tableau GRC + risk dashboard</t>
  </si>
  <si>
    <t xml:space="preserve">Dashboard with drill-down + threshold flags from tableau_dataset (serves Capstone Wk 11, RM C5, Compliance KPI)</t>
  </si>
  <si>
    <t xml:space="preserve">RM-24, CMP-15, CMP-17, CAP-32</t>
  </si>
  <si>
    <t xml:space="preserve">Capstone; Compliance 1; Risk Management 1</t>
  </si>
  <si>
    <t xml:space="preserve">Wed 10/28</t>
  </si>
  <si>
    <t xml:space="preserve">Audit pack + evidence repository + GitHub</t>
  </si>
  <si>
    <t xml:space="preserve">SoA, POA&amp;M, exception register, AES-256 encryption demo, realm export; push compliance_1/IR1/capstone to GitHub (no secrets)</t>
  </si>
  <si>
    <t xml:space="preserve">CB1-07, CB1-08, CAP-20, CAP-24, CAP-27, CAP-29, CAP-31, CAP-33</t>
  </si>
  <si>
    <t xml:space="preserve">Capstone; Cybersecurity Basics 1</t>
  </si>
  <si>
    <t xml:space="preserve">Thu-Fri 10/29-30</t>
  </si>
  <si>
    <t xml:space="preserve">End-to-end test + portfolio + demo</t>
  </si>
  <si>
    <t xml:space="preserve">Re-run verify/detect/review; expected-vs-actual test log; 5-minute demo rehearsal; close-out</t>
  </si>
  <si>
    <t xml:space="preserve">CAP-34, CAP-35, CAP-37</t>
  </si>
  <si>
    <t xml:space="preserve">Column F counts rows whose Build task is exactly this task (combined values such as "B0/B8" are listed in column E but not counted).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</si>
</sst>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5EFD9"/>
        <bgColor rgb="FFE2F0D9"/>
      </patternFill>
    </fill>
    <fill>
      <patternFill patternType="solid">
        <fgColor rgb="FFE2F0D9"/>
        <bgColor rgb="FFD5EFD9"/>
      </patternFill>
    </fill>
    <fill>
      <patternFill patternType="solid">
        <fgColor rgb="FFFFF4D6"/>
        <bgColor rgb="FFFFF2CC"/>
      </patternFill>
    </fill>
    <fill>
      <patternFill patternType="solid">
        <fgColor rgb="FFF8D7DA"/>
        <bgColor rgb="FFFCE4D6"/>
      </patternFill>
    </fill>
    <fill>
      <patternFill patternType="solid">
        <fgColor rgb="FFFCE4D6"/>
        <bgColor rgb="FFF8D7DA"/>
      </patternFill>
    </fill>
    <fill>
      <patternFill patternType="solid">
        <fgColor rgb="FFEDEDED"/>
        <bgColor rgb="FFE2F0D9"/>
      </patternFill>
    </fill>
    <fill>
      <patternFill patternType="solid">
        <fgColor rgb="FFFFF2CC"/>
        <bgColor rgb="FFFFF4D6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EFD9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4D6"/>
      <rgbColor rgb="FFD5EFD9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FFF2CC"/>
      <rgbColor rgb="FF99CCFF"/>
      <rgbColor rgb="FFFCE4D6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4" t="s">
        <v>8</v>
      </c>
      <c r="B11" s="2" t="s">
        <v>9</v>
      </c>
    </row>
    <row r="12" customFormat="false" ht="15" hidden="false" customHeight="false" outlineLevel="0" collapsed="false">
      <c r="A12" s="5" t="s">
        <v>10</v>
      </c>
      <c r="B12" s="2" t="s">
        <v>11</v>
      </c>
    </row>
    <row r="13" customFormat="false" ht="15" hidden="false" customHeight="false" outlineLevel="0" collapsed="false">
      <c r="A13" s="6" t="s">
        <v>12</v>
      </c>
      <c r="B13" s="2" t="s">
        <v>13</v>
      </c>
    </row>
    <row r="14" customFormat="false" ht="15" hidden="false" customHeight="false" outlineLevel="0" collapsed="false">
      <c r="A14" s="7" t="s">
        <v>14</v>
      </c>
      <c r="B14" s="2" t="s">
        <v>15</v>
      </c>
    </row>
    <row r="15" customFormat="false" ht="15" hidden="false" customHeight="false" outlineLevel="0" collapsed="false">
      <c r="A15" s="8" t="s">
        <v>16</v>
      </c>
      <c r="B15" s="2" t="s">
        <v>17</v>
      </c>
    </row>
    <row r="16" customFormat="false" ht="15" hidden="false" customHeight="false" outlineLevel="0" collapsed="false">
      <c r="A16" s="9" t="s">
        <v>18</v>
      </c>
      <c r="B16" s="2" t="s">
        <v>19</v>
      </c>
    </row>
    <row r="18" customFormat="false" ht="15" hidden="false" customHeight="false" outlineLevel="0" collapsed="false">
      <c r="A18" s="3" t="s">
        <v>20</v>
      </c>
    </row>
    <row r="19" customFormat="false" ht="15" hidden="false" customHeight="false" outlineLevel="0" collapsed="false">
      <c r="A19" s="10" t="s">
        <v>21</v>
      </c>
      <c r="B19" s="2" t="s">
        <v>22</v>
      </c>
    </row>
    <row r="20" customFormat="false" ht="15" hidden="false" customHeight="false" outlineLevel="0" collapsed="false">
      <c r="A20" s="11" t="s">
        <v>23</v>
      </c>
      <c r="B20" s="11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2" min="2" style="0" width="13"/>
  </cols>
  <sheetData>
    <row r="1" customFormat="false" ht="16.15" hidden="false" customHeight="false" outlineLevel="0" collapsed="false">
      <c r="A1" s="12" t="s">
        <v>25</v>
      </c>
    </row>
    <row r="3" customFormat="false" ht="42" hidden="false" customHeight="true" outlineLevel="0" collapsed="false">
      <c r="A3" s="13" t="s">
        <v>26</v>
      </c>
      <c r="B3" s="13" t="s">
        <v>27</v>
      </c>
      <c r="C3" s="14" t="s">
        <v>8</v>
      </c>
      <c r="D3" s="15" t="s">
        <v>10</v>
      </c>
      <c r="E3" s="16" t="s">
        <v>12</v>
      </c>
      <c r="F3" s="17" t="s">
        <v>14</v>
      </c>
      <c r="G3" s="18" t="s">
        <v>16</v>
      </c>
      <c r="H3" s="19" t="s">
        <v>18</v>
      </c>
      <c r="I3" s="13" t="s">
        <v>28</v>
      </c>
      <c r="J3" s="13" t="s">
        <v>29</v>
      </c>
      <c r="K3" s="13" t="s">
        <v>30</v>
      </c>
      <c r="L3" s="13" t="s">
        <v>31</v>
      </c>
    </row>
    <row r="4" customFormat="false" ht="15" hidden="false" customHeight="false" outlineLevel="0" collapsed="false">
      <c r="A4" s="20" t="s">
        <v>32</v>
      </c>
      <c r="B4" s="20" t="n">
        <f aca="false">COUNTIF(Requirements!$B$2:$B$185,A4)</f>
        <v>11</v>
      </c>
      <c r="C4" s="20" t="n">
        <f aca="false">COUNTIFS(Requirements!$B$2:$B$185,$A4,Requirements!$E$2:$E$185,C$3)</f>
        <v>3</v>
      </c>
      <c r="D4" s="20" t="n">
        <f aca="false">COUNTIFS(Requirements!$B$2:$B$185,$A4,Requirements!$E$2:$E$185,D$3)</f>
        <v>0</v>
      </c>
      <c r="E4" s="20" t="n">
        <f aca="false">COUNTIFS(Requirements!$B$2:$B$185,$A4,Requirements!$E$2:$E$185,E$3)</f>
        <v>1</v>
      </c>
      <c r="F4" s="20" t="n">
        <f aca="false">COUNTIFS(Requirements!$B$2:$B$185,$A4,Requirements!$E$2:$E$185,F$3)</f>
        <v>0</v>
      </c>
      <c r="G4" s="20" t="n">
        <f aca="false">COUNTIFS(Requirements!$B$2:$B$185,$A4,Requirements!$E$2:$E$185,G$3)</f>
        <v>0</v>
      </c>
      <c r="H4" s="20" t="n">
        <f aca="false">COUNTIFS(Requirements!$B$2:$B$185,$A4,Requirements!$E$2:$E$185,H$3)</f>
        <v>7</v>
      </c>
      <c r="I4" s="20" t="n">
        <f aca="false">SUM(E4:H4)</f>
        <v>8</v>
      </c>
      <c r="J4" s="20" t="n">
        <f aca="false">COUNTIFS(Requirements!$B$2:$B$185,$A4,Requirements!$E$2:$E$185,"&lt;&gt;Met",Requirements!$K$2:$K$185,"Done")+COUNTIFS(Requirements!$B$2:$B$185,$A4,Requirements!$E$2:$E$185,"&lt;&gt;Met",Requirements!$K$2:$K$185,"Instructor accepted")</f>
        <v>0</v>
      </c>
      <c r="K4" s="20" t="n">
        <f aca="false">MAX(0,I4-J4)</f>
        <v>8</v>
      </c>
      <c r="L4" s="21" t="n">
        <f aca="false">IF(B4=0,0,(C4+D4)/B4)</f>
        <v>0.272727272727273</v>
      </c>
    </row>
    <row r="5" customFormat="false" ht="15" hidden="false" customHeight="false" outlineLevel="0" collapsed="false">
      <c r="A5" s="20" t="s">
        <v>33</v>
      </c>
      <c r="B5" s="20" t="n">
        <f aca="false">COUNTIF(Requirements!$B$2:$B$185,A5)</f>
        <v>16</v>
      </c>
      <c r="C5" s="20" t="n">
        <f aca="false">COUNTIFS(Requirements!$B$2:$B$185,$A5,Requirements!$E$2:$E$185,C$3)</f>
        <v>5</v>
      </c>
      <c r="D5" s="20" t="n">
        <f aca="false">COUNTIFS(Requirements!$B$2:$B$185,$A5,Requirements!$E$2:$E$185,D$3)</f>
        <v>0</v>
      </c>
      <c r="E5" s="20" t="n">
        <f aca="false">COUNTIFS(Requirements!$B$2:$B$185,$A5,Requirements!$E$2:$E$185,E$3)</f>
        <v>5</v>
      </c>
      <c r="F5" s="20" t="n">
        <f aca="false">COUNTIFS(Requirements!$B$2:$B$185,$A5,Requirements!$E$2:$E$185,F$3)</f>
        <v>0</v>
      </c>
      <c r="G5" s="20" t="n">
        <f aca="false">COUNTIFS(Requirements!$B$2:$B$185,$A5,Requirements!$E$2:$E$185,G$3)</f>
        <v>0</v>
      </c>
      <c r="H5" s="20" t="n">
        <f aca="false">COUNTIFS(Requirements!$B$2:$B$185,$A5,Requirements!$E$2:$E$185,H$3)</f>
        <v>6</v>
      </c>
      <c r="I5" s="20" t="n">
        <f aca="false">SUM(E5:H5)</f>
        <v>11</v>
      </c>
      <c r="J5" s="20" t="n">
        <f aca="false">COUNTIFS(Requirements!$B$2:$B$185,$A5,Requirements!$E$2:$E$185,"&lt;&gt;Met",Requirements!$K$2:$K$185,"Done")+COUNTIFS(Requirements!$B$2:$B$185,$A5,Requirements!$E$2:$E$185,"&lt;&gt;Met",Requirements!$K$2:$K$185,"Instructor accepted")</f>
        <v>0</v>
      </c>
      <c r="K5" s="20" t="n">
        <f aca="false">MAX(0,I5-J5)</f>
        <v>11</v>
      </c>
      <c r="L5" s="21" t="n">
        <f aca="false">IF(B5=0,0,(C5+D5)/B5)</f>
        <v>0.3125</v>
      </c>
    </row>
    <row r="6" customFormat="false" ht="15" hidden="false" customHeight="false" outlineLevel="0" collapsed="false">
      <c r="A6" s="20" t="s">
        <v>34</v>
      </c>
      <c r="B6" s="20" t="n">
        <f aca="false">COUNTIF(Requirements!$B$2:$B$185,A6)</f>
        <v>18</v>
      </c>
      <c r="C6" s="20" t="n">
        <f aca="false">COUNTIFS(Requirements!$B$2:$B$185,$A6,Requirements!$E$2:$E$185,C$3)</f>
        <v>11</v>
      </c>
      <c r="D6" s="20" t="n">
        <f aca="false">COUNTIFS(Requirements!$B$2:$B$185,$A6,Requirements!$E$2:$E$185,D$3)</f>
        <v>0</v>
      </c>
      <c r="E6" s="20" t="n">
        <f aca="false">COUNTIFS(Requirements!$B$2:$B$185,$A6,Requirements!$E$2:$E$185,E$3)</f>
        <v>5</v>
      </c>
      <c r="F6" s="20" t="n">
        <f aca="false">COUNTIFS(Requirements!$B$2:$B$185,$A6,Requirements!$E$2:$E$185,F$3)</f>
        <v>2</v>
      </c>
      <c r="G6" s="20" t="n">
        <f aca="false">COUNTIFS(Requirements!$B$2:$B$185,$A6,Requirements!$E$2:$E$185,G$3)</f>
        <v>0</v>
      </c>
      <c r="H6" s="20" t="n">
        <f aca="false">COUNTIFS(Requirements!$B$2:$B$185,$A6,Requirements!$E$2:$E$185,H$3)</f>
        <v>0</v>
      </c>
      <c r="I6" s="20" t="n">
        <f aca="false">SUM(E6:H6)</f>
        <v>7</v>
      </c>
      <c r="J6" s="20" t="n">
        <f aca="false">COUNTIFS(Requirements!$B$2:$B$185,$A6,Requirements!$E$2:$E$185,"&lt;&gt;Met",Requirements!$K$2:$K$185,"Done")+COUNTIFS(Requirements!$B$2:$B$185,$A6,Requirements!$E$2:$E$185,"&lt;&gt;Met",Requirements!$K$2:$K$185,"Instructor accepted")</f>
        <v>0</v>
      </c>
      <c r="K6" s="20" t="n">
        <f aca="false">MAX(0,I6-J6)</f>
        <v>7</v>
      </c>
      <c r="L6" s="21" t="n">
        <f aca="false">IF(B6=0,0,(C6+D6)/B6)</f>
        <v>0.611111111111111</v>
      </c>
    </row>
    <row r="7" customFormat="false" ht="15" hidden="false" customHeight="false" outlineLevel="0" collapsed="false">
      <c r="A7" s="20" t="s">
        <v>35</v>
      </c>
      <c r="B7" s="20" t="n">
        <f aca="false">COUNTIF(Requirements!$B$2:$B$185,A7)</f>
        <v>27</v>
      </c>
      <c r="C7" s="20" t="n">
        <f aca="false">COUNTIFS(Requirements!$B$2:$B$185,$A7,Requirements!$E$2:$E$185,C$3)</f>
        <v>21</v>
      </c>
      <c r="D7" s="20" t="n">
        <f aca="false">COUNTIFS(Requirements!$B$2:$B$185,$A7,Requirements!$E$2:$E$185,D$3)</f>
        <v>0</v>
      </c>
      <c r="E7" s="20" t="n">
        <f aca="false">COUNTIFS(Requirements!$B$2:$B$185,$A7,Requirements!$E$2:$E$185,E$3)</f>
        <v>1</v>
      </c>
      <c r="F7" s="20" t="n">
        <f aca="false">COUNTIFS(Requirements!$B$2:$B$185,$A7,Requirements!$E$2:$E$185,F$3)</f>
        <v>5</v>
      </c>
      <c r="G7" s="20" t="n">
        <f aca="false">COUNTIFS(Requirements!$B$2:$B$185,$A7,Requirements!$E$2:$E$185,G$3)</f>
        <v>0</v>
      </c>
      <c r="H7" s="20" t="n">
        <f aca="false">COUNTIFS(Requirements!$B$2:$B$185,$A7,Requirements!$E$2:$E$185,H$3)</f>
        <v>0</v>
      </c>
      <c r="I7" s="20" t="n">
        <f aca="false">SUM(E7:H7)</f>
        <v>6</v>
      </c>
      <c r="J7" s="20" t="n">
        <f aca="false">COUNTIFS(Requirements!$B$2:$B$185,$A7,Requirements!$E$2:$E$185,"&lt;&gt;Met",Requirements!$K$2:$K$185,"Done")+COUNTIFS(Requirements!$B$2:$B$185,$A7,Requirements!$E$2:$E$185,"&lt;&gt;Met",Requirements!$K$2:$K$185,"Instructor accepted")</f>
        <v>0</v>
      </c>
      <c r="K7" s="20" t="n">
        <f aca="false">MAX(0,I7-J7)</f>
        <v>6</v>
      </c>
      <c r="L7" s="21" t="n">
        <f aca="false">IF(B7=0,0,(C7+D7)/B7)</f>
        <v>0.777777777777778</v>
      </c>
    </row>
    <row r="8" customFormat="false" ht="15" hidden="false" customHeight="false" outlineLevel="0" collapsed="false">
      <c r="A8" s="20" t="s">
        <v>36</v>
      </c>
      <c r="B8" s="20" t="n">
        <f aca="false">COUNTIF(Requirements!$B$2:$B$185,A8)</f>
        <v>25</v>
      </c>
      <c r="C8" s="20" t="n">
        <f aca="false">COUNTIFS(Requirements!$B$2:$B$185,$A8,Requirements!$E$2:$E$185,C$3)</f>
        <v>24</v>
      </c>
      <c r="D8" s="20" t="n">
        <f aca="false">COUNTIFS(Requirements!$B$2:$B$185,$A8,Requirements!$E$2:$E$185,D$3)</f>
        <v>0</v>
      </c>
      <c r="E8" s="20" t="n">
        <f aca="false">COUNTIFS(Requirements!$B$2:$B$185,$A8,Requirements!$E$2:$E$185,E$3)</f>
        <v>1</v>
      </c>
      <c r="F8" s="20" t="n">
        <f aca="false">COUNTIFS(Requirements!$B$2:$B$185,$A8,Requirements!$E$2:$E$185,F$3)</f>
        <v>0</v>
      </c>
      <c r="G8" s="20" t="n">
        <f aca="false">COUNTIFS(Requirements!$B$2:$B$185,$A8,Requirements!$E$2:$E$185,G$3)</f>
        <v>0</v>
      </c>
      <c r="H8" s="20" t="n">
        <f aca="false">COUNTIFS(Requirements!$B$2:$B$185,$A8,Requirements!$E$2:$E$185,H$3)</f>
        <v>0</v>
      </c>
      <c r="I8" s="20" t="n">
        <f aca="false">SUM(E8:H8)</f>
        <v>1</v>
      </c>
      <c r="J8" s="20" t="n">
        <f aca="false">COUNTIFS(Requirements!$B$2:$B$185,$A8,Requirements!$E$2:$E$185,"&lt;&gt;Met",Requirements!$K$2:$K$185,"Done")+COUNTIFS(Requirements!$B$2:$B$185,$A8,Requirements!$E$2:$E$185,"&lt;&gt;Met",Requirements!$K$2:$K$185,"Instructor accepted")</f>
        <v>0</v>
      </c>
      <c r="K8" s="20" t="n">
        <f aca="false">MAX(0,I8-J8)</f>
        <v>1</v>
      </c>
      <c r="L8" s="21" t="n">
        <f aca="false">IF(B8=0,0,(C8+D8)/B8)</f>
        <v>0.96</v>
      </c>
    </row>
    <row r="9" customFormat="false" ht="15" hidden="false" customHeight="false" outlineLevel="0" collapsed="false">
      <c r="A9" s="20" t="s">
        <v>37</v>
      </c>
      <c r="B9" s="20" t="n">
        <f aca="false">COUNTIF(Requirements!$B$2:$B$185,A9)</f>
        <v>21</v>
      </c>
      <c r="C9" s="20" t="n">
        <f aca="false">COUNTIFS(Requirements!$B$2:$B$185,$A9,Requirements!$E$2:$E$185,C$3)</f>
        <v>21</v>
      </c>
      <c r="D9" s="20" t="n">
        <f aca="false">COUNTIFS(Requirements!$B$2:$B$185,$A9,Requirements!$E$2:$E$185,D$3)</f>
        <v>0</v>
      </c>
      <c r="E9" s="20" t="n">
        <f aca="false">COUNTIFS(Requirements!$B$2:$B$185,$A9,Requirements!$E$2:$E$185,E$3)</f>
        <v>0</v>
      </c>
      <c r="F9" s="20" t="n">
        <f aca="false">COUNTIFS(Requirements!$B$2:$B$185,$A9,Requirements!$E$2:$E$185,F$3)</f>
        <v>0</v>
      </c>
      <c r="G9" s="20" t="n">
        <f aca="false">COUNTIFS(Requirements!$B$2:$B$185,$A9,Requirements!$E$2:$E$185,G$3)</f>
        <v>0</v>
      </c>
      <c r="H9" s="20" t="n">
        <f aca="false">COUNTIFS(Requirements!$B$2:$B$185,$A9,Requirements!$E$2:$E$185,H$3)</f>
        <v>0</v>
      </c>
      <c r="I9" s="20" t="n">
        <f aca="false">SUM(E9:H9)</f>
        <v>0</v>
      </c>
      <c r="J9" s="20" t="n">
        <f aca="false">COUNTIFS(Requirements!$B$2:$B$185,$A9,Requirements!$E$2:$E$185,"&lt;&gt;Met",Requirements!$K$2:$K$185,"Done")+COUNTIFS(Requirements!$B$2:$B$185,$A9,Requirements!$E$2:$E$185,"&lt;&gt;Met",Requirements!$K$2:$K$185,"Instructor accepted")</f>
        <v>0</v>
      </c>
      <c r="K9" s="20" t="n">
        <f aca="false">MAX(0,I9-J9)</f>
        <v>0</v>
      </c>
      <c r="L9" s="21" t="n">
        <f aca="false">IF(B9=0,0,(C9+D9)/B9)</f>
        <v>1</v>
      </c>
    </row>
    <row r="10" customFormat="false" ht="15" hidden="false" customHeight="false" outlineLevel="0" collapsed="false">
      <c r="A10" s="20" t="s">
        <v>38</v>
      </c>
      <c r="B10" s="20" t="n">
        <f aca="false">COUNTIF(Requirements!$B$2:$B$185,A10)</f>
        <v>29</v>
      </c>
      <c r="C10" s="20" t="n">
        <f aca="false">COUNTIFS(Requirements!$B$2:$B$185,$A10,Requirements!$E$2:$E$185,C$3)</f>
        <v>15</v>
      </c>
      <c r="D10" s="20" t="n">
        <f aca="false">COUNTIFS(Requirements!$B$2:$B$185,$A10,Requirements!$E$2:$E$185,D$3)</f>
        <v>5</v>
      </c>
      <c r="E10" s="20" t="n">
        <f aca="false">COUNTIFS(Requirements!$B$2:$B$185,$A10,Requirements!$E$2:$E$185,E$3)</f>
        <v>4</v>
      </c>
      <c r="F10" s="20" t="n">
        <f aca="false">COUNTIFS(Requirements!$B$2:$B$185,$A10,Requirements!$E$2:$E$185,F$3)</f>
        <v>0</v>
      </c>
      <c r="G10" s="20" t="n">
        <f aca="false">COUNTIFS(Requirements!$B$2:$B$185,$A10,Requirements!$E$2:$E$185,G$3)</f>
        <v>5</v>
      </c>
      <c r="H10" s="20" t="n">
        <f aca="false">COUNTIFS(Requirements!$B$2:$B$185,$A10,Requirements!$E$2:$E$185,H$3)</f>
        <v>0</v>
      </c>
      <c r="I10" s="20" t="n">
        <f aca="false">SUM(E10:H10)</f>
        <v>9</v>
      </c>
      <c r="J10" s="20" t="n">
        <f aca="false">COUNTIFS(Requirements!$B$2:$B$185,$A10,Requirements!$E$2:$E$185,"&lt;&gt;Met",Requirements!$K$2:$K$185,"Done")+COUNTIFS(Requirements!$B$2:$B$185,$A10,Requirements!$E$2:$E$185,"&lt;&gt;Met",Requirements!$K$2:$K$185,"Instructor accepted")</f>
        <v>0</v>
      </c>
      <c r="K10" s="20" t="n">
        <f aca="false">MAX(0,I10-J10)</f>
        <v>9</v>
      </c>
      <c r="L10" s="21" t="n">
        <f aca="false">IF(B10=0,0,(C10+D10)/B10)</f>
        <v>0.689655172413793</v>
      </c>
    </row>
    <row r="11" customFormat="false" ht="15" hidden="false" customHeight="false" outlineLevel="0" collapsed="false">
      <c r="A11" s="20" t="s">
        <v>39</v>
      </c>
      <c r="B11" s="20" t="n">
        <f aca="false">COUNTIF(Requirements!$B$2:$B$185,A11)</f>
        <v>37</v>
      </c>
      <c r="C11" s="20" t="n">
        <f aca="false">COUNTIFS(Requirements!$B$2:$B$185,$A11,Requirements!$E$2:$E$185,C$3)</f>
        <v>10</v>
      </c>
      <c r="D11" s="20" t="n">
        <f aca="false">COUNTIFS(Requirements!$B$2:$B$185,$A11,Requirements!$E$2:$E$185,D$3)</f>
        <v>0</v>
      </c>
      <c r="E11" s="20" t="n">
        <f aca="false">COUNTIFS(Requirements!$B$2:$B$185,$A11,Requirements!$E$2:$E$185,E$3)</f>
        <v>10</v>
      </c>
      <c r="F11" s="20" t="n">
        <f aca="false">COUNTIFS(Requirements!$B$2:$B$185,$A11,Requirements!$E$2:$E$185,F$3)</f>
        <v>17</v>
      </c>
      <c r="G11" s="20" t="n">
        <f aca="false">COUNTIFS(Requirements!$B$2:$B$185,$A11,Requirements!$E$2:$E$185,G$3)</f>
        <v>0</v>
      </c>
      <c r="H11" s="20" t="n">
        <f aca="false">COUNTIFS(Requirements!$B$2:$B$185,$A11,Requirements!$E$2:$E$185,H$3)</f>
        <v>0</v>
      </c>
      <c r="I11" s="20" t="n">
        <f aca="false">SUM(E11:H11)</f>
        <v>27</v>
      </c>
      <c r="J11" s="20" t="n">
        <f aca="false">COUNTIFS(Requirements!$B$2:$B$185,$A11,Requirements!$E$2:$E$185,"&lt;&gt;Met",Requirements!$K$2:$K$185,"Done")+COUNTIFS(Requirements!$B$2:$B$185,$A11,Requirements!$E$2:$E$185,"&lt;&gt;Met",Requirements!$K$2:$K$185,"Instructor accepted")</f>
        <v>0</v>
      </c>
      <c r="K11" s="20" t="n">
        <f aca="false">MAX(0,I11-J11)</f>
        <v>27</v>
      </c>
      <c r="L11" s="21" t="n">
        <f aca="false">IF(B11=0,0,(C11+D11)/B11)</f>
        <v>0.27027027027027</v>
      </c>
    </row>
    <row r="12" customFormat="false" ht="15" hidden="false" customHeight="false" outlineLevel="0" collapsed="false">
      <c r="A12" s="22" t="s">
        <v>40</v>
      </c>
      <c r="B12" s="22" t="n">
        <f aca="false">SUM(B4:B11)</f>
        <v>184</v>
      </c>
      <c r="C12" s="22" t="n">
        <f aca="false">SUM(C4:C11)</f>
        <v>110</v>
      </c>
      <c r="D12" s="22" t="n">
        <f aca="false">SUM(D4:D11)</f>
        <v>5</v>
      </c>
      <c r="E12" s="22" t="n">
        <f aca="false">SUM(E4:E11)</f>
        <v>27</v>
      </c>
      <c r="F12" s="22" t="n">
        <f aca="false">SUM(F4:F11)</f>
        <v>24</v>
      </c>
      <c r="G12" s="22" t="n">
        <f aca="false">SUM(G4:G11)</f>
        <v>5</v>
      </c>
      <c r="H12" s="22" t="n">
        <f aca="false">SUM(H4:H11)</f>
        <v>13</v>
      </c>
      <c r="I12" s="22" t="n">
        <f aca="false">SUM(I4:I11)</f>
        <v>69</v>
      </c>
      <c r="J12" s="22" t="n">
        <f aca="false">SUM(J4:J11)</f>
        <v>0</v>
      </c>
      <c r="K12" s="22" t="n">
        <f aca="false">SUM(K4:K11)</f>
        <v>69</v>
      </c>
      <c r="L12" s="23" t="n">
        <f aca="false">IF(B12=0,0,(C12+D12)/B12)</f>
        <v>0.625</v>
      </c>
    </row>
    <row r="14" customFormat="false" ht="15" hidden="false" customHeight="false" outlineLevel="0" collapsed="false">
      <c r="A14" s="2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20"/>
    <col collapsed="false" customWidth="true" hidden="false" outlineLevel="0" max="4" min="4" style="0" width="44"/>
    <col collapsed="false" customWidth="true" hidden="false" outlineLevel="0" max="5" min="5" style="0" width="16"/>
    <col collapsed="false" customWidth="true" hidden="false" outlineLevel="0" max="6" min="6" style="0" width="42"/>
    <col collapsed="false" customWidth="true" hidden="false" outlineLevel="0" max="7" min="7" style="0" width="32"/>
    <col collapsed="false" customWidth="true" hidden="false" outlineLevel="0" max="8" min="8" style="0" width="40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2" min="11" style="0" width="12"/>
    <col collapsed="false" customWidth="true" hidden="false" outlineLevel="0" max="13" min="13" style="0" width="30"/>
  </cols>
  <sheetData>
    <row r="1" customFormat="false" ht="35.05" hidden="false" customHeight="false" outlineLevel="0" collapsed="false">
      <c r="A1" s="13" t="s">
        <v>42</v>
      </c>
      <c r="B1" s="13" t="s">
        <v>26</v>
      </c>
      <c r="C1" s="13" t="s">
        <v>43</v>
      </c>
      <c r="D1" s="13" t="s">
        <v>44</v>
      </c>
      <c r="E1" s="13" t="s">
        <v>45</v>
      </c>
      <c r="F1" s="13" t="s">
        <v>46</v>
      </c>
      <c r="G1" s="13" t="s">
        <v>47</v>
      </c>
      <c r="H1" s="13" t="s">
        <v>48</v>
      </c>
      <c r="I1" s="13" t="s">
        <v>49</v>
      </c>
      <c r="J1" s="13" t="s">
        <v>50</v>
      </c>
      <c r="K1" s="13" t="s">
        <v>51</v>
      </c>
      <c r="L1" s="13" t="s">
        <v>52</v>
      </c>
      <c r="M1" s="13" t="s">
        <v>53</v>
      </c>
    </row>
    <row r="2" customFormat="false" ht="22.35" hidden="false" customHeight="false" outlineLevel="0" collapsed="false">
      <c r="A2" s="25" t="s">
        <v>54</v>
      </c>
      <c r="B2" s="25" t="s">
        <v>32</v>
      </c>
      <c r="C2" s="25" t="s">
        <v>55</v>
      </c>
      <c r="D2" s="25" t="s">
        <v>56</v>
      </c>
      <c r="E2" s="26" t="s">
        <v>18</v>
      </c>
      <c r="F2" s="25" t="s">
        <v>57</v>
      </c>
      <c r="G2" s="25" t="s">
        <v>58</v>
      </c>
      <c r="H2" s="25" t="s">
        <v>59</v>
      </c>
      <c r="I2" s="25" t="s">
        <v>60</v>
      </c>
      <c r="J2" s="25" t="s">
        <v>61</v>
      </c>
      <c r="K2" s="27"/>
      <c r="L2" s="27"/>
      <c r="M2" s="27"/>
    </row>
    <row r="3" customFormat="false" ht="22.35" hidden="false" customHeight="false" outlineLevel="0" collapsed="false">
      <c r="A3" s="25" t="s">
        <v>62</v>
      </c>
      <c r="B3" s="25" t="s">
        <v>32</v>
      </c>
      <c r="C3" s="25" t="s">
        <v>55</v>
      </c>
      <c r="D3" s="25" t="s">
        <v>63</v>
      </c>
      <c r="E3" s="26" t="s">
        <v>18</v>
      </c>
      <c r="F3" s="25" t="s">
        <v>64</v>
      </c>
      <c r="G3" s="25"/>
      <c r="H3" s="25" t="s">
        <v>65</v>
      </c>
      <c r="I3" s="25" t="s">
        <v>60</v>
      </c>
      <c r="J3" s="25" t="s">
        <v>61</v>
      </c>
      <c r="K3" s="27"/>
      <c r="L3" s="27"/>
      <c r="M3" s="27"/>
    </row>
    <row r="4" customFormat="false" ht="22.35" hidden="false" customHeight="false" outlineLevel="0" collapsed="false">
      <c r="A4" s="25" t="s">
        <v>66</v>
      </c>
      <c r="B4" s="25" t="s">
        <v>32</v>
      </c>
      <c r="C4" s="25" t="s">
        <v>55</v>
      </c>
      <c r="D4" s="25" t="s">
        <v>67</v>
      </c>
      <c r="E4" s="26" t="s">
        <v>18</v>
      </c>
      <c r="F4" s="25" t="s">
        <v>68</v>
      </c>
      <c r="G4" s="25"/>
      <c r="H4" s="25" t="s">
        <v>65</v>
      </c>
      <c r="I4" s="25" t="s">
        <v>60</v>
      </c>
      <c r="J4" s="25" t="s">
        <v>61</v>
      </c>
      <c r="K4" s="27"/>
      <c r="L4" s="27"/>
      <c r="M4" s="27"/>
    </row>
    <row r="5" customFormat="false" ht="32.8" hidden="false" customHeight="false" outlineLevel="0" collapsed="false">
      <c r="A5" s="25" t="s">
        <v>69</v>
      </c>
      <c r="B5" s="25" t="s">
        <v>32</v>
      </c>
      <c r="C5" s="25" t="s">
        <v>55</v>
      </c>
      <c r="D5" s="25" t="s">
        <v>70</v>
      </c>
      <c r="E5" s="28" t="s">
        <v>12</v>
      </c>
      <c r="F5" s="25" t="s">
        <v>71</v>
      </c>
      <c r="G5" s="25" t="s">
        <v>72</v>
      </c>
      <c r="H5" s="25" t="s">
        <v>73</v>
      </c>
      <c r="I5" s="25" t="s">
        <v>60</v>
      </c>
      <c r="J5" s="25" t="s">
        <v>61</v>
      </c>
      <c r="K5" s="27"/>
      <c r="L5" s="27"/>
      <c r="M5" s="27"/>
    </row>
    <row r="6" customFormat="false" ht="22.35" hidden="false" customHeight="false" outlineLevel="0" collapsed="false">
      <c r="A6" s="25" t="s">
        <v>74</v>
      </c>
      <c r="B6" s="25" t="s">
        <v>32</v>
      </c>
      <c r="C6" s="25" t="s">
        <v>75</v>
      </c>
      <c r="D6" s="25" t="s">
        <v>76</v>
      </c>
      <c r="E6" s="26" t="s">
        <v>18</v>
      </c>
      <c r="F6" s="25" t="s">
        <v>77</v>
      </c>
      <c r="G6" s="25"/>
      <c r="H6" s="25" t="s">
        <v>73</v>
      </c>
      <c r="I6" s="25" t="s">
        <v>60</v>
      </c>
      <c r="J6" s="25" t="s">
        <v>61</v>
      </c>
      <c r="K6" s="27"/>
      <c r="L6" s="27"/>
      <c r="M6" s="27"/>
    </row>
    <row r="7" customFormat="false" ht="22.35" hidden="false" customHeight="false" outlineLevel="0" collapsed="false">
      <c r="A7" s="25" t="s">
        <v>78</v>
      </c>
      <c r="B7" s="25" t="s">
        <v>32</v>
      </c>
      <c r="C7" s="25" t="s">
        <v>75</v>
      </c>
      <c r="D7" s="25" t="s">
        <v>79</v>
      </c>
      <c r="E7" s="26" t="s">
        <v>18</v>
      </c>
      <c r="F7" s="25" t="s">
        <v>80</v>
      </c>
      <c r="G7" s="25"/>
      <c r="H7" s="25" t="s">
        <v>73</v>
      </c>
      <c r="I7" s="25" t="s">
        <v>60</v>
      </c>
      <c r="J7" s="25" t="s">
        <v>61</v>
      </c>
      <c r="K7" s="27"/>
      <c r="L7" s="27"/>
      <c r="M7" s="27"/>
    </row>
    <row r="8" customFormat="false" ht="22.35" hidden="false" customHeight="false" outlineLevel="0" collapsed="false">
      <c r="A8" s="25" t="s">
        <v>81</v>
      </c>
      <c r="B8" s="25" t="s">
        <v>32</v>
      </c>
      <c r="C8" s="25" t="s">
        <v>75</v>
      </c>
      <c r="D8" s="25" t="s">
        <v>82</v>
      </c>
      <c r="E8" s="26" t="s">
        <v>18</v>
      </c>
      <c r="F8" s="25" t="s">
        <v>61</v>
      </c>
      <c r="G8" s="25"/>
      <c r="H8" s="25" t="s">
        <v>83</v>
      </c>
      <c r="I8" s="25" t="s">
        <v>84</v>
      </c>
      <c r="J8" s="25" t="s">
        <v>61</v>
      </c>
      <c r="K8" s="27"/>
      <c r="L8" s="27"/>
      <c r="M8" s="27"/>
    </row>
    <row r="9" customFormat="false" ht="32.8" hidden="false" customHeight="false" outlineLevel="0" collapsed="false">
      <c r="A9" s="25" t="s">
        <v>85</v>
      </c>
      <c r="B9" s="25" t="s">
        <v>32</v>
      </c>
      <c r="C9" s="25" t="s">
        <v>86</v>
      </c>
      <c r="D9" s="25" t="s">
        <v>87</v>
      </c>
      <c r="E9" s="26" t="s">
        <v>18</v>
      </c>
      <c r="F9" s="25" t="s">
        <v>61</v>
      </c>
      <c r="G9" s="25" t="s">
        <v>88</v>
      </c>
      <c r="H9" s="25" t="s">
        <v>89</v>
      </c>
      <c r="I9" s="25" t="s">
        <v>84</v>
      </c>
      <c r="J9" s="25" t="s">
        <v>61</v>
      </c>
      <c r="K9" s="27"/>
      <c r="L9" s="27"/>
      <c r="M9" s="27"/>
    </row>
    <row r="10" customFormat="false" ht="22.35" hidden="false" customHeight="false" outlineLevel="0" collapsed="false">
      <c r="A10" s="25" t="s">
        <v>90</v>
      </c>
      <c r="B10" s="25" t="s">
        <v>32</v>
      </c>
      <c r="C10" s="25" t="s">
        <v>86</v>
      </c>
      <c r="D10" s="25" t="s">
        <v>91</v>
      </c>
      <c r="E10" s="29" t="s">
        <v>8</v>
      </c>
      <c r="F10" s="25" t="s">
        <v>92</v>
      </c>
      <c r="G10" s="25"/>
      <c r="H10" s="25" t="s">
        <v>61</v>
      </c>
      <c r="I10" s="25"/>
      <c r="J10" s="25" t="s">
        <v>61</v>
      </c>
      <c r="K10" s="27"/>
      <c r="L10" s="27"/>
      <c r="M10" s="27"/>
    </row>
    <row r="11" customFormat="false" ht="15" hidden="false" customHeight="false" outlineLevel="0" collapsed="false">
      <c r="A11" s="25" t="s">
        <v>93</v>
      </c>
      <c r="B11" s="25" t="s">
        <v>32</v>
      </c>
      <c r="C11" s="25" t="s">
        <v>94</v>
      </c>
      <c r="D11" s="25" t="s">
        <v>95</v>
      </c>
      <c r="E11" s="29" t="s">
        <v>8</v>
      </c>
      <c r="F11" s="25" t="s">
        <v>96</v>
      </c>
      <c r="G11" s="25" t="s">
        <v>97</v>
      </c>
      <c r="H11" s="25" t="s">
        <v>61</v>
      </c>
      <c r="I11" s="25"/>
      <c r="J11" s="25" t="s">
        <v>61</v>
      </c>
      <c r="K11" s="27"/>
      <c r="L11" s="27"/>
      <c r="M11" s="27"/>
    </row>
    <row r="12" customFormat="false" ht="15" hidden="false" customHeight="false" outlineLevel="0" collapsed="false">
      <c r="A12" s="25" t="s">
        <v>98</v>
      </c>
      <c r="B12" s="25" t="s">
        <v>32</v>
      </c>
      <c r="C12" s="25" t="s">
        <v>94</v>
      </c>
      <c r="D12" s="25" t="s">
        <v>99</v>
      </c>
      <c r="E12" s="29" t="s">
        <v>8</v>
      </c>
      <c r="F12" s="25" t="s">
        <v>100</v>
      </c>
      <c r="G12" s="25" t="s">
        <v>97</v>
      </c>
      <c r="H12" s="25" t="s">
        <v>61</v>
      </c>
      <c r="I12" s="25"/>
      <c r="J12" s="25" t="s">
        <v>61</v>
      </c>
      <c r="K12" s="27"/>
      <c r="L12" s="27"/>
      <c r="M12" s="27"/>
    </row>
    <row r="13" customFormat="false" ht="32.8" hidden="false" customHeight="false" outlineLevel="0" collapsed="false">
      <c r="A13" s="25" t="s">
        <v>101</v>
      </c>
      <c r="B13" s="25" t="s">
        <v>33</v>
      </c>
      <c r="C13" s="25" t="s">
        <v>102</v>
      </c>
      <c r="D13" s="25" t="s">
        <v>103</v>
      </c>
      <c r="E13" s="29" t="s">
        <v>8</v>
      </c>
      <c r="F13" s="25" t="s">
        <v>104</v>
      </c>
      <c r="G13" s="25"/>
      <c r="H13" s="25" t="s">
        <v>61</v>
      </c>
      <c r="I13" s="25"/>
      <c r="J13" s="25" t="s">
        <v>105</v>
      </c>
      <c r="K13" s="27"/>
      <c r="L13" s="27"/>
      <c r="M13" s="27"/>
    </row>
    <row r="14" customFormat="false" ht="32.8" hidden="false" customHeight="false" outlineLevel="0" collapsed="false">
      <c r="A14" s="25" t="s">
        <v>106</v>
      </c>
      <c r="B14" s="25" t="s">
        <v>33</v>
      </c>
      <c r="C14" s="25" t="s">
        <v>102</v>
      </c>
      <c r="D14" s="25" t="s">
        <v>107</v>
      </c>
      <c r="E14" s="29" t="s">
        <v>8</v>
      </c>
      <c r="F14" s="25" t="s">
        <v>108</v>
      </c>
      <c r="G14" s="25"/>
      <c r="H14" s="25" t="s">
        <v>61</v>
      </c>
      <c r="I14" s="25"/>
      <c r="J14" s="25" t="s">
        <v>109</v>
      </c>
      <c r="K14" s="27"/>
      <c r="L14" s="27"/>
      <c r="M14" s="27"/>
    </row>
    <row r="15" customFormat="false" ht="22.35" hidden="false" customHeight="false" outlineLevel="0" collapsed="false">
      <c r="A15" s="25" t="s">
        <v>110</v>
      </c>
      <c r="B15" s="25" t="s">
        <v>33</v>
      </c>
      <c r="C15" s="25" t="s">
        <v>102</v>
      </c>
      <c r="D15" s="25" t="s">
        <v>111</v>
      </c>
      <c r="E15" s="29" t="s">
        <v>8</v>
      </c>
      <c r="F15" s="25" t="s">
        <v>112</v>
      </c>
      <c r="G15" s="25"/>
      <c r="H15" s="25" t="s">
        <v>61</v>
      </c>
      <c r="I15" s="25"/>
      <c r="J15" s="25" t="s">
        <v>109</v>
      </c>
      <c r="K15" s="27"/>
      <c r="L15" s="27"/>
      <c r="M15" s="27"/>
    </row>
    <row r="16" customFormat="false" ht="22.35" hidden="false" customHeight="false" outlineLevel="0" collapsed="false">
      <c r="A16" s="25" t="s">
        <v>113</v>
      </c>
      <c r="B16" s="25" t="s">
        <v>33</v>
      </c>
      <c r="C16" s="25" t="s">
        <v>102</v>
      </c>
      <c r="D16" s="25" t="s">
        <v>114</v>
      </c>
      <c r="E16" s="29" t="s">
        <v>8</v>
      </c>
      <c r="F16" s="25" t="s">
        <v>115</v>
      </c>
      <c r="G16" s="25"/>
      <c r="H16" s="25" t="s">
        <v>61</v>
      </c>
      <c r="I16" s="25"/>
      <c r="J16" s="25" t="s">
        <v>109</v>
      </c>
      <c r="K16" s="27"/>
      <c r="L16" s="27"/>
      <c r="M16" s="27"/>
    </row>
    <row r="17" customFormat="false" ht="43.25" hidden="false" customHeight="false" outlineLevel="0" collapsed="false">
      <c r="A17" s="25" t="s">
        <v>116</v>
      </c>
      <c r="B17" s="25" t="s">
        <v>33</v>
      </c>
      <c r="C17" s="25" t="s">
        <v>117</v>
      </c>
      <c r="D17" s="25" t="s">
        <v>118</v>
      </c>
      <c r="E17" s="26" t="s">
        <v>18</v>
      </c>
      <c r="F17" s="25" t="s">
        <v>119</v>
      </c>
      <c r="G17" s="25" t="s">
        <v>120</v>
      </c>
      <c r="H17" s="25" t="s">
        <v>121</v>
      </c>
      <c r="I17" s="25" t="s">
        <v>122</v>
      </c>
      <c r="J17" s="25" t="s">
        <v>123</v>
      </c>
      <c r="K17" s="27"/>
      <c r="L17" s="27"/>
      <c r="M17" s="27"/>
    </row>
    <row r="18" customFormat="false" ht="22.35" hidden="false" customHeight="false" outlineLevel="0" collapsed="false">
      <c r="A18" s="25" t="s">
        <v>124</v>
      </c>
      <c r="B18" s="25" t="s">
        <v>33</v>
      </c>
      <c r="C18" s="25" t="s">
        <v>117</v>
      </c>
      <c r="D18" s="25" t="s">
        <v>125</v>
      </c>
      <c r="E18" s="26" t="s">
        <v>18</v>
      </c>
      <c r="F18" s="25" t="s">
        <v>65</v>
      </c>
      <c r="G18" s="25"/>
      <c r="H18" s="25" t="s">
        <v>126</v>
      </c>
      <c r="I18" s="25" t="s">
        <v>122</v>
      </c>
      <c r="J18" s="25" t="s">
        <v>123</v>
      </c>
      <c r="K18" s="27"/>
      <c r="L18" s="27"/>
      <c r="M18" s="27"/>
    </row>
    <row r="19" customFormat="false" ht="22.35" hidden="false" customHeight="false" outlineLevel="0" collapsed="false">
      <c r="A19" s="25" t="s">
        <v>127</v>
      </c>
      <c r="B19" s="25" t="s">
        <v>33</v>
      </c>
      <c r="C19" s="25" t="s">
        <v>117</v>
      </c>
      <c r="D19" s="25" t="s">
        <v>128</v>
      </c>
      <c r="E19" s="26" t="s">
        <v>18</v>
      </c>
      <c r="F19" s="25" t="s">
        <v>61</v>
      </c>
      <c r="G19" s="25"/>
      <c r="H19" s="25" t="s">
        <v>129</v>
      </c>
      <c r="I19" s="25" t="s">
        <v>122</v>
      </c>
      <c r="J19" s="25" t="s">
        <v>123</v>
      </c>
      <c r="K19" s="27"/>
      <c r="L19" s="27"/>
      <c r="M19" s="27"/>
    </row>
    <row r="20" customFormat="false" ht="22.35" hidden="false" customHeight="false" outlineLevel="0" collapsed="false">
      <c r="A20" s="25" t="s">
        <v>130</v>
      </c>
      <c r="B20" s="25" t="s">
        <v>33</v>
      </c>
      <c r="C20" s="25" t="s">
        <v>131</v>
      </c>
      <c r="D20" s="25" t="s">
        <v>132</v>
      </c>
      <c r="E20" s="29" t="s">
        <v>8</v>
      </c>
      <c r="F20" s="25" t="s">
        <v>133</v>
      </c>
      <c r="G20" s="25"/>
      <c r="H20" s="25" t="s">
        <v>61</v>
      </c>
      <c r="I20" s="25"/>
      <c r="J20" s="25" t="s">
        <v>109</v>
      </c>
      <c r="K20" s="27"/>
      <c r="L20" s="27"/>
      <c r="M20" s="27"/>
    </row>
    <row r="21" customFormat="false" ht="22.35" hidden="false" customHeight="false" outlineLevel="0" collapsed="false">
      <c r="A21" s="25" t="s">
        <v>134</v>
      </c>
      <c r="B21" s="25" t="s">
        <v>33</v>
      </c>
      <c r="C21" s="25" t="s">
        <v>131</v>
      </c>
      <c r="D21" s="25" t="s">
        <v>135</v>
      </c>
      <c r="E21" s="28" t="s">
        <v>12</v>
      </c>
      <c r="F21" s="25" t="s">
        <v>136</v>
      </c>
      <c r="G21" s="25" t="s">
        <v>137</v>
      </c>
      <c r="H21" s="25" t="s">
        <v>138</v>
      </c>
      <c r="I21" s="25" t="s">
        <v>122</v>
      </c>
      <c r="J21" s="25" t="s">
        <v>61</v>
      </c>
      <c r="K21" s="27"/>
      <c r="L21" s="27"/>
      <c r="M21" s="27"/>
    </row>
    <row r="22" customFormat="false" ht="22.35" hidden="false" customHeight="false" outlineLevel="0" collapsed="false">
      <c r="A22" s="25" t="s">
        <v>139</v>
      </c>
      <c r="B22" s="25" t="s">
        <v>33</v>
      </c>
      <c r="C22" s="25" t="s">
        <v>131</v>
      </c>
      <c r="D22" s="25" t="s">
        <v>140</v>
      </c>
      <c r="E22" s="28" t="s">
        <v>12</v>
      </c>
      <c r="F22" s="25" t="s">
        <v>141</v>
      </c>
      <c r="G22" s="25"/>
      <c r="H22" s="25" t="s">
        <v>65</v>
      </c>
      <c r="I22" s="25" t="s">
        <v>122</v>
      </c>
      <c r="J22" s="25" t="s">
        <v>61</v>
      </c>
      <c r="K22" s="27"/>
      <c r="L22" s="27"/>
      <c r="M22" s="27"/>
    </row>
    <row r="23" customFormat="false" ht="22.35" hidden="false" customHeight="false" outlineLevel="0" collapsed="false">
      <c r="A23" s="25" t="s">
        <v>142</v>
      </c>
      <c r="B23" s="25" t="s">
        <v>33</v>
      </c>
      <c r="C23" s="25" t="s">
        <v>131</v>
      </c>
      <c r="D23" s="25" t="s">
        <v>143</v>
      </c>
      <c r="E23" s="28" t="s">
        <v>12</v>
      </c>
      <c r="F23" s="25" t="s">
        <v>144</v>
      </c>
      <c r="G23" s="25"/>
      <c r="H23" s="25" t="s">
        <v>65</v>
      </c>
      <c r="I23" s="25" t="s">
        <v>122</v>
      </c>
      <c r="J23" s="25" t="s">
        <v>61</v>
      </c>
      <c r="K23" s="27"/>
      <c r="L23" s="27"/>
      <c r="M23" s="27"/>
    </row>
    <row r="24" customFormat="false" ht="22.35" hidden="false" customHeight="false" outlineLevel="0" collapsed="false">
      <c r="A24" s="25" t="s">
        <v>145</v>
      </c>
      <c r="B24" s="25" t="s">
        <v>33</v>
      </c>
      <c r="C24" s="25" t="s">
        <v>146</v>
      </c>
      <c r="D24" s="25" t="s">
        <v>147</v>
      </c>
      <c r="E24" s="26" t="s">
        <v>18</v>
      </c>
      <c r="F24" s="25" t="s">
        <v>148</v>
      </c>
      <c r="G24" s="25"/>
      <c r="H24" s="25" t="s">
        <v>149</v>
      </c>
      <c r="I24" s="25" t="s">
        <v>122</v>
      </c>
      <c r="J24" s="25" t="s">
        <v>150</v>
      </c>
      <c r="K24" s="27"/>
      <c r="L24" s="27"/>
      <c r="M24" s="27"/>
    </row>
    <row r="25" customFormat="false" ht="22.35" hidden="false" customHeight="false" outlineLevel="0" collapsed="false">
      <c r="A25" s="25" t="s">
        <v>151</v>
      </c>
      <c r="B25" s="25" t="s">
        <v>33</v>
      </c>
      <c r="C25" s="25" t="s">
        <v>146</v>
      </c>
      <c r="D25" s="25" t="s">
        <v>152</v>
      </c>
      <c r="E25" s="26" t="s">
        <v>18</v>
      </c>
      <c r="F25" s="25" t="s">
        <v>61</v>
      </c>
      <c r="G25" s="25"/>
      <c r="H25" s="25" t="s">
        <v>153</v>
      </c>
      <c r="I25" s="25" t="s">
        <v>122</v>
      </c>
      <c r="J25" s="25" t="s">
        <v>150</v>
      </c>
      <c r="K25" s="27"/>
      <c r="L25" s="27"/>
      <c r="M25" s="27"/>
    </row>
    <row r="26" customFormat="false" ht="22.35" hidden="false" customHeight="false" outlineLevel="0" collapsed="false">
      <c r="A26" s="25" t="s">
        <v>154</v>
      </c>
      <c r="B26" s="25" t="s">
        <v>33</v>
      </c>
      <c r="C26" s="25" t="s">
        <v>146</v>
      </c>
      <c r="D26" s="25" t="s">
        <v>155</v>
      </c>
      <c r="E26" s="26" t="s">
        <v>18</v>
      </c>
      <c r="F26" s="25" t="s">
        <v>156</v>
      </c>
      <c r="G26" s="25" t="s">
        <v>157</v>
      </c>
      <c r="H26" s="25" t="s">
        <v>158</v>
      </c>
      <c r="I26" s="25" t="s">
        <v>122</v>
      </c>
      <c r="J26" s="25" t="s">
        <v>150</v>
      </c>
      <c r="K26" s="27"/>
      <c r="L26" s="27"/>
      <c r="M26" s="27"/>
    </row>
    <row r="27" customFormat="false" ht="22.35" hidden="false" customHeight="false" outlineLevel="0" collapsed="false">
      <c r="A27" s="25" t="s">
        <v>159</v>
      </c>
      <c r="B27" s="25" t="s">
        <v>33</v>
      </c>
      <c r="C27" s="25" t="s">
        <v>160</v>
      </c>
      <c r="D27" s="25" t="s">
        <v>161</v>
      </c>
      <c r="E27" s="28" t="s">
        <v>12</v>
      </c>
      <c r="F27" s="25" t="s">
        <v>162</v>
      </c>
      <c r="G27" s="25"/>
      <c r="H27" s="25" t="s">
        <v>163</v>
      </c>
      <c r="I27" s="25" t="s">
        <v>164</v>
      </c>
      <c r="J27" s="25" t="s">
        <v>123</v>
      </c>
      <c r="K27" s="27"/>
      <c r="L27" s="27"/>
      <c r="M27" s="27"/>
    </row>
    <row r="28" customFormat="false" ht="32.8" hidden="false" customHeight="false" outlineLevel="0" collapsed="false">
      <c r="A28" s="25" t="s">
        <v>165</v>
      </c>
      <c r="B28" s="25" t="s">
        <v>33</v>
      </c>
      <c r="C28" s="25" t="s">
        <v>160</v>
      </c>
      <c r="D28" s="25" t="s">
        <v>166</v>
      </c>
      <c r="E28" s="28" t="s">
        <v>12</v>
      </c>
      <c r="F28" s="25" t="s">
        <v>167</v>
      </c>
      <c r="G28" s="25" t="s">
        <v>168</v>
      </c>
      <c r="H28" s="25" t="s">
        <v>169</v>
      </c>
      <c r="I28" s="25" t="s">
        <v>164</v>
      </c>
      <c r="J28" s="25" t="s">
        <v>170</v>
      </c>
      <c r="K28" s="27"/>
      <c r="L28" s="27"/>
      <c r="M28" s="27"/>
    </row>
    <row r="29" customFormat="false" ht="22.35" hidden="false" customHeight="false" outlineLevel="0" collapsed="false">
      <c r="A29" s="25" t="s">
        <v>171</v>
      </c>
      <c r="B29" s="25" t="s">
        <v>34</v>
      </c>
      <c r="C29" s="25" t="s">
        <v>172</v>
      </c>
      <c r="D29" s="25" t="s">
        <v>173</v>
      </c>
      <c r="E29" s="29" t="s">
        <v>8</v>
      </c>
      <c r="F29" s="25" t="s">
        <v>174</v>
      </c>
      <c r="G29" s="25" t="s">
        <v>175</v>
      </c>
      <c r="H29" s="25" t="s">
        <v>61</v>
      </c>
      <c r="I29" s="25"/>
      <c r="J29" s="25" t="s">
        <v>109</v>
      </c>
      <c r="K29" s="27"/>
      <c r="L29" s="27"/>
      <c r="M29" s="27"/>
    </row>
    <row r="30" customFormat="false" ht="22.35" hidden="false" customHeight="false" outlineLevel="0" collapsed="false">
      <c r="A30" s="25" t="s">
        <v>176</v>
      </c>
      <c r="B30" s="25" t="s">
        <v>34</v>
      </c>
      <c r="C30" s="25" t="s">
        <v>172</v>
      </c>
      <c r="D30" s="25" t="s">
        <v>177</v>
      </c>
      <c r="E30" s="29" t="s">
        <v>8</v>
      </c>
      <c r="F30" s="25" t="s">
        <v>153</v>
      </c>
      <c r="G30" s="25"/>
      <c r="H30" s="25" t="s">
        <v>61</v>
      </c>
      <c r="I30" s="25"/>
      <c r="J30" s="25" t="s">
        <v>109</v>
      </c>
      <c r="K30" s="27"/>
      <c r="L30" s="27"/>
      <c r="M30" s="27"/>
    </row>
    <row r="31" customFormat="false" ht="15" hidden="false" customHeight="false" outlineLevel="0" collapsed="false">
      <c r="A31" s="25" t="s">
        <v>178</v>
      </c>
      <c r="B31" s="25" t="s">
        <v>34</v>
      </c>
      <c r="C31" s="25" t="s">
        <v>179</v>
      </c>
      <c r="D31" s="25" t="s">
        <v>180</v>
      </c>
      <c r="E31" s="29" t="s">
        <v>8</v>
      </c>
      <c r="F31" s="25" t="s">
        <v>181</v>
      </c>
      <c r="G31" s="25"/>
      <c r="H31" s="25" t="s">
        <v>61</v>
      </c>
      <c r="I31" s="25"/>
      <c r="J31" s="25" t="s">
        <v>109</v>
      </c>
      <c r="K31" s="27"/>
      <c r="L31" s="27"/>
      <c r="M31" s="27"/>
    </row>
    <row r="32" customFormat="false" ht="15" hidden="false" customHeight="false" outlineLevel="0" collapsed="false">
      <c r="A32" s="25" t="s">
        <v>182</v>
      </c>
      <c r="B32" s="25" t="s">
        <v>34</v>
      </c>
      <c r="C32" s="25" t="s">
        <v>179</v>
      </c>
      <c r="D32" s="25" t="s">
        <v>183</v>
      </c>
      <c r="E32" s="29" t="s">
        <v>8</v>
      </c>
      <c r="F32" s="25" t="s">
        <v>184</v>
      </c>
      <c r="G32" s="25"/>
      <c r="H32" s="25" t="s">
        <v>61</v>
      </c>
      <c r="I32" s="25"/>
      <c r="J32" s="25" t="s">
        <v>109</v>
      </c>
      <c r="K32" s="27"/>
      <c r="L32" s="27"/>
      <c r="M32" s="27"/>
    </row>
    <row r="33" customFormat="false" ht="15" hidden="false" customHeight="false" outlineLevel="0" collapsed="false">
      <c r="A33" s="25" t="s">
        <v>185</v>
      </c>
      <c r="B33" s="25" t="s">
        <v>34</v>
      </c>
      <c r="C33" s="25" t="s">
        <v>179</v>
      </c>
      <c r="D33" s="25" t="s">
        <v>186</v>
      </c>
      <c r="E33" s="29" t="s">
        <v>8</v>
      </c>
      <c r="F33" s="25" t="s">
        <v>187</v>
      </c>
      <c r="G33" s="25"/>
      <c r="H33" s="25" t="s">
        <v>61</v>
      </c>
      <c r="I33" s="25"/>
      <c r="J33" s="25" t="s">
        <v>109</v>
      </c>
      <c r="K33" s="27"/>
      <c r="L33" s="27"/>
      <c r="M33" s="27"/>
    </row>
    <row r="34" customFormat="false" ht="32.8" hidden="false" customHeight="false" outlineLevel="0" collapsed="false">
      <c r="A34" s="25" t="s">
        <v>188</v>
      </c>
      <c r="B34" s="25" t="s">
        <v>34</v>
      </c>
      <c r="C34" s="25" t="s">
        <v>189</v>
      </c>
      <c r="D34" s="25" t="s">
        <v>190</v>
      </c>
      <c r="E34" s="28" t="s">
        <v>12</v>
      </c>
      <c r="F34" s="25" t="s">
        <v>191</v>
      </c>
      <c r="G34" s="25" t="s">
        <v>192</v>
      </c>
      <c r="H34" s="25" t="s">
        <v>193</v>
      </c>
      <c r="I34" s="25" t="s">
        <v>194</v>
      </c>
      <c r="J34" s="25" t="s">
        <v>195</v>
      </c>
      <c r="K34" s="27"/>
      <c r="L34" s="27"/>
      <c r="M34" s="27"/>
    </row>
    <row r="35" customFormat="false" ht="22.35" hidden="false" customHeight="false" outlineLevel="0" collapsed="false">
      <c r="A35" s="25" t="s">
        <v>196</v>
      </c>
      <c r="B35" s="25" t="s">
        <v>34</v>
      </c>
      <c r="C35" s="25" t="s">
        <v>189</v>
      </c>
      <c r="D35" s="25" t="s">
        <v>197</v>
      </c>
      <c r="E35" s="28" t="s">
        <v>12</v>
      </c>
      <c r="F35" s="25" t="s">
        <v>198</v>
      </c>
      <c r="G35" s="25"/>
      <c r="H35" s="25" t="s">
        <v>199</v>
      </c>
      <c r="I35" s="25" t="s">
        <v>194</v>
      </c>
      <c r="J35" s="25" t="s">
        <v>123</v>
      </c>
      <c r="K35" s="27"/>
      <c r="L35" s="27"/>
      <c r="M35" s="27"/>
    </row>
    <row r="36" customFormat="false" ht="22.35" hidden="false" customHeight="false" outlineLevel="0" collapsed="false">
      <c r="A36" s="25" t="s">
        <v>200</v>
      </c>
      <c r="B36" s="25" t="s">
        <v>34</v>
      </c>
      <c r="C36" s="25" t="s">
        <v>189</v>
      </c>
      <c r="D36" s="25" t="s">
        <v>201</v>
      </c>
      <c r="E36" s="28" t="s">
        <v>12</v>
      </c>
      <c r="F36" s="25" t="s">
        <v>202</v>
      </c>
      <c r="G36" s="25"/>
      <c r="H36" s="25" t="s">
        <v>203</v>
      </c>
      <c r="I36" s="25" t="s">
        <v>194</v>
      </c>
      <c r="J36" s="25" t="s">
        <v>123</v>
      </c>
      <c r="K36" s="27"/>
      <c r="L36" s="27"/>
      <c r="M36" s="27"/>
    </row>
    <row r="37" customFormat="false" ht="22.35" hidden="false" customHeight="false" outlineLevel="0" collapsed="false">
      <c r="A37" s="25" t="s">
        <v>204</v>
      </c>
      <c r="B37" s="25" t="s">
        <v>34</v>
      </c>
      <c r="C37" s="25" t="s">
        <v>189</v>
      </c>
      <c r="D37" s="25" t="s">
        <v>205</v>
      </c>
      <c r="E37" s="29" t="s">
        <v>8</v>
      </c>
      <c r="F37" s="25" t="s">
        <v>206</v>
      </c>
      <c r="G37" s="25" t="s">
        <v>207</v>
      </c>
      <c r="H37" s="25" t="s">
        <v>208</v>
      </c>
      <c r="I37" s="25" t="s">
        <v>194</v>
      </c>
      <c r="J37" s="25" t="s">
        <v>123</v>
      </c>
      <c r="K37" s="27"/>
      <c r="L37" s="27"/>
      <c r="M37" s="27"/>
    </row>
    <row r="38" customFormat="false" ht="22.35" hidden="false" customHeight="false" outlineLevel="0" collapsed="false">
      <c r="A38" s="25" t="s">
        <v>209</v>
      </c>
      <c r="B38" s="25" t="s">
        <v>34</v>
      </c>
      <c r="C38" s="25" t="s">
        <v>210</v>
      </c>
      <c r="D38" s="25" t="s">
        <v>211</v>
      </c>
      <c r="E38" s="28" t="s">
        <v>12</v>
      </c>
      <c r="F38" s="25" t="s">
        <v>212</v>
      </c>
      <c r="G38" s="25" t="s">
        <v>213</v>
      </c>
      <c r="H38" s="25" t="s">
        <v>214</v>
      </c>
      <c r="I38" s="25" t="s">
        <v>194</v>
      </c>
      <c r="J38" s="25" t="s">
        <v>215</v>
      </c>
      <c r="K38" s="27"/>
      <c r="L38" s="27"/>
      <c r="M38" s="27"/>
    </row>
    <row r="39" customFormat="false" ht="32.8" hidden="false" customHeight="false" outlineLevel="0" collapsed="false">
      <c r="A39" s="25" t="s">
        <v>216</v>
      </c>
      <c r="B39" s="25" t="s">
        <v>34</v>
      </c>
      <c r="C39" s="25" t="s">
        <v>210</v>
      </c>
      <c r="D39" s="25" t="s">
        <v>217</v>
      </c>
      <c r="E39" s="29" t="s">
        <v>8</v>
      </c>
      <c r="F39" s="25" t="s">
        <v>218</v>
      </c>
      <c r="G39" s="25"/>
      <c r="H39" s="25" t="s">
        <v>219</v>
      </c>
      <c r="I39" s="25" t="s">
        <v>220</v>
      </c>
      <c r="J39" s="25" t="s">
        <v>215</v>
      </c>
      <c r="K39" s="27"/>
      <c r="L39" s="27"/>
      <c r="M39" s="27"/>
    </row>
    <row r="40" customFormat="false" ht="15" hidden="false" customHeight="false" outlineLevel="0" collapsed="false">
      <c r="A40" s="25" t="s">
        <v>221</v>
      </c>
      <c r="B40" s="25" t="s">
        <v>34</v>
      </c>
      <c r="C40" s="25" t="s">
        <v>210</v>
      </c>
      <c r="D40" s="25" t="s">
        <v>222</v>
      </c>
      <c r="E40" s="28" t="s">
        <v>12</v>
      </c>
      <c r="F40" s="25" t="s">
        <v>223</v>
      </c>
      <c r="G40" s="25" t="s">
        <v>224</v>
      </c>
      <c r="H40" s="25" t="s">
        <v>225</v>
      </c>
      <c r="I40" s="25" t="s">
        <v>220</v>
      </c>
      <c r="J40" s="25" t="s">
        <v>215</v>
      </c>
      <c r="K40" s="27"/>
      <c r="L40" s="27"/>
      <c r="M40" s="27"/>
    </row>
    <row r="41" customFormat="false" ht="22.35" hidden="false" customHeight="false" outlineLevel="0" collapsed="false">
      <c r="A41" s="25" t="s">
        <v>226</v>
      </c>
      <c r="B41" s="25" t="s">
        <v>34</v>
      </c>
      <c r="C41" s="25" t="s">
        <v>227</v>
      </c>
      <c r="D41" s="25" t="s">
        <v>228</v>
      </c>
      <c r="E41" s="30" t="s">
        <v>14</v>
      </c>
      <c r="F41" s="25" t="s">
        <v>229</v>
      </c>
      <c r="G41" s="25" t="s">
        <v>230</v>
      </c>
      <c r="H41" s="25" t="s">
        <v>231</v>
      </c>
      <c r="I41" s="25" t="s">
        <v>194</v>
      </c>
      <c r="J41" s="25" t="s">
        <v>232</v>
      </c>
      <c r="K41" s="27"/>
      <c r="L41" s="27"/>
      <c r="M41" s="27"/>
    </row>
    <row r="42" customFormat="false" ht="15" hidden="false" customHeight="false" outlineLevel="0" collapsed="false">
      <c r="A42" s="25" t="s">
        <v>233</v>
      </c>
      <c r="B42" s="25" t="s">
        <v>34</v>
      </c>
      <c r="C42" s="25" t="s">
        <v>227</v>
      </c>
      <c r="D42" s="25" t="s">
        <v>234</v>
      </c>
      <c r="E42" s="30" t="s">
        <v>14</v>
      </c>
      <c r="F42" s="25" t="s">
        <v>229</v>
      </c>
      <c r="G42" s="25" t="s">
        <v>235</v>
      </c>
      <c r="H42" s="25" t="s">
        <v>236</v>
      </c>
      <c r="I42" s="25" t="s">
        <v>237</v>
      </c>
      <c r="J42" s="25" t="s">
        <v>232</v>
      </c>
      <c r="K42" s="27"/>
      <c r="L42" s="27"/>
      <c r="M42" s="27"/>
    </row>
    <row r="43" customFormat="false" ht="32.8" hidden="false" customHeight="false" outlineLevel="0" collapsed="false">
      <c r="A43" s="25" t="s">
        <v>238</v>
      </c>
      <c r="B43" s="25" t="s">
        <v>34</v>
      </c>
      <c r="C43" s="25" t="s">
        <v>239</v>
      </c>
      <c r="D43" s="25" t="s">
        <v>240</v>
      </c>
      <c r="E43" s="29" t="s">
        <v>8</v>
      </c>
      <c r="F43" s="25" t="s">
        <v>241</v>
      </c>
      <c r="G43" s="25" t="s">
        <v>242</v>
      </c>
      <c r="H43" s="25" t="s">
        <v>61</v>
      </c>
      <c r="I43" s="25"/>
      <c r="J43" s="25" t="s">
        <v>123</v>
      </c>
      <c r="K43" s="27"/>
      <c r="L43" s="27"/>
      <c r="M43" s="27"/>
    </row>
    <row r="44" customFormat="false" ht="15" hidden="false" customHeight="false" outlineLevel="0" collapsed="false">
      <c r="A44" s="25" t="s">
        <v>243</v>
      </c>
      <c r="B44" s="25" t="s">
        <v>34</v>
      </c>
      <c r="C44" s="25" t="s">
        <v>239</v>
      </c>
      <c r="D44" s="25" t="s">
        <v>244</v>
      </c>
      <c r="E44" s="29" t="s">
        <v>8</v>
      </c>
      <c r="F44" s="25" t="s">
        <v>245</v>
      </c>
      <c r="G44" s="25" t="s">
        <v>246</v>
      </c>
      <c r="H44" s="25" t="s">
        <v>61</v>
      </c>
      <c r="I44" s="25"/>
      <c r="J44" s="25" t="s">
        <v>123</v>
      </c>
      <c r="K44" s="27"/>
      <c r="L44" s="27"/>
      <c r="M44" s="27"/>
    </row>
    <row r="45" customFormat="false" ht="15" hidden="false" customHeight="false" outlineLevel="0" collapsed="false">
      <c r="A45" s="25" t="s">
        <v>247</v>
      </c>
      <c r="B45" s="25" t="s">
        <v>34</v>
      </c>
      <c r="C45" s="25" t="s">
        <v>239</v>
      </c>
      <c r="D45" s="25" t="s">
        <v>248</v>
      </c>
      <c r="E45" s="29" t="s">
        <v>8</v>
      </c>
      <c r="F45" s="25" t="s">
        <v>249</v>
      </c>
      <c r="G45" s="25" t="s">
        <v>246</v>
      </c>
      <c r="H45" s="25" t="s">
        <v>61</v>
      </c>
      <c r="I45" s="25"/>
      <c r="J45" s="25" t="s">
        <v>123</v>
      </c>
      <c r="K45" s="27"/>
      <c r="L45" s="27"/>
      <c r="M45" s="27"/>
    </row>
    <row r="46" customFormat="false" ht="32.8" hidden="false" customHeight="false" outlineLevel="0" collapsed="false">
      <c r="A46" s="25" t="s">
        <v>250</v>
      </c>
      <c r="B46" s="25" t="s">
        <v>34</v>
      </c>
      <c r="C46" s="25" t="s">
        <v>251</v>
      </c>
      <c r="D46" s="25" t="s">
        <v>252</v>
      </c>
      <c r="E46" s="29" t="s">
        <v>8</v>
      </c>
      <c r="F46" s="25" t="s">
        <v>253</v>
      </c>
      <c r="G46" s="25"/>
      <c r="H46" s="25" t="s">
        <v>61</v>
      </c>
      <c r="I46" s="25"/>
      <c r="J46" s="25" t="s">
        <v>254</v>
      </c>
      <c r="K46" s="27"/>
      <c r="L46" s="27"/>
      <c r="M46" s="27"/>
    </row>
    <row r="47" customFormat="false" ht="22.35" hidden="false" customHeight="false" outlineLevel="0" collapsed="false">
      <c r="A47" s="25" t="s">
        <v>255</v>
      </c>
      <c r="B47" s="25" t="s">
        <v>35</v>
      </c>
      <c r="C47" s="25" t="s">
        <v>256</v>
      </c>
      <c r="D47" s="25" t="s">
        <v>257</v>
      </c>
      <c r="E47" s="29" t="s">
        <v>8</v>
      </c>
      <c r="F47" s="25" t="s">
        <v>258</v>
      </c>
      <c r="G47" s="25"/>
      <c r="H47" s="25" t="s">
        <v>61</v>
      </c>
      <c r="I47" s="25"/>
      <c r="J47" s="25" t="s">
        <v>109</v>
      </c>
      <c r="K47" s="27"/>
      <c r="L47" s="27"/>
      <c r="M47" s="27"/>
    </row>
    <row r="48" customFormat="false" ht="22.35" hidden="false" customHeight="false" outlineLevel="0" collapsed="false">
      <c r="A48" s="25" t="s">
        <v>259</v>
      </c>
      <c r="B48" s="25" t="s">
        <v>35</v>
      </c>
      <c r="C48" s="25" t="s">
        <v>256</v>
      </c>
      <c r="D48" s="25" t="s">
        <v>260</v>
      </c>
      <c r="E48" s="29" t="s">
        <v>8</v>
      </c>
      <c r="F48" s="25" t="s">
        <v>261</v>
      </c>
      <c r="G48" s="25" t="s">
        <v>262</v>
      </c>
      <c r="H48" s="25" t="s">
        <v>263</v>
      </c>
      <c r="I48" s="25"/>
      <c r="J48" s="25" t="s">
        <v>109</v>
      </c>
      <c r="K48" s="27"/>
      <c r="L48" s="27"/>
      <c r="M48" s="27"/>
    </row>
    <row r="49" customFormat="false" ht="15" hidden="false" customHeight="false" outlineLevel="0" collapsed="false">
      <c r="A49" s="25" t="s">
        <v>264</v>
      </c>
      <c r="B49" s="25" t="s">
        <v>35</v>
      </c>
      <c r="C49" s="25" t="s">
        <v>256</v>
      </c>
      <c r="D49" s="25" t="s">
        <v>265</v>
      </c>
      <c r="E49" s="29" t="s">
        <v>8</v>
      </c>
      <c r="F49" s="25" t="s">
        <v>181</v>
      </c>
      <c r="G49" s="25"/>
      <c r="H49" s="25" t="s">
        <v>61</v>
      </c>
      <c r="I49" s="25"/>
      <c r="J49" s="25" t="s">
        <v>109</v>
      </c>
      <c r="K49" s="27"/>
      <c r="L49" s="27"/>
      <c r="M49" s="27"/>
    </row>
    <row r="50" customFormat="false" ht="15" hidden="false" customHeight="false" outlineLevel="0" collapsed="false">
      <c r="A50" s="25" t="s">
        <v>266</v>
      </c>
      <c r="B50" s="25" t="s">
        <v>35</v>
      </c>
      <c r="C50" s="25" t="s">
        <v>256</v>
      </c>
      <c r="D50" s="25" t="s">
        <v>267</v>
      </c>
      <c r="E50" s="29" t="s">
        <v>8</v>
      </c>
      <c r="F50" s="25" t="s">
        <v>268</v>
      </c>
      <c r="G50" s="25"/>
      <c r="H50" s="25" t="s">
        <v>61</v>
      </c>
      <c r="I50" s="25"/>
      <c r="J50" s="25" t="s">
        <v>150</v>
      </c>
      <c r="K50" s="27"/>
      <c r="L50" s="27"/>
      <c r="M50" s="27"/>
    </row>
    <row r="51" customFormat="false" ht="22.35" hidden="false" customHeight="false" outlineLevel="0" collapsed="false">
      <c r="A51" s="25" t="s">
        <v>269</v>
      </c>
      <c r="B51" s="25" t="s">
        <v>35</v>
      </c>
      <c r="C51" s="25" t="s">
        <v>270</v>
      </c>
      <c r="D51" s="25" t="s">
        <v>271</v>
      </c>
      <c r="E51" s="29" t="s">
        <v>8</v>
      </c>
      <c r="F51" s="25" t="s">
        <v>272</v>
      </c>
      <c r="G51" s="25" t="s">
        <v>273</v>
      </c>
      <c r="H51" s="25" t="s">
        <v>61</v>
      </c>
      <c r="I51" s="25"/>
      <c r="J51" s="25" t="s">
        <v>109</v>
      </c>
      <c r="K51" s="27"/>
      <c r="L51" s="27"/>
      <c r="M51" s="27"/>
    </row>
    <row r="52" customFormat="false" ht="22.35" hidden="false" customHeight="false" outlineLevel="0" collapsed="false">
      <c r="A52" s="25" t="s">
        <v>274</v>
      </c>
      <c r="B52" s="25" t="s">
        <v>35</v>
      </c>
      <c r="C52" s="25" t="s">
        <v>270</v>
      </c>
      <c r="D52" s="25" t="s">
        <v>275</v>
      </c>
      <c r="E52" s="29" t="s">
        <v>8</v>
      </c>
      <c r="F52" s="25" t="s">
        <v>276</v>
      </c>
      <c r="G52" s="25"/>
      <c r="H52" s="25" t="s">
        <v>61</v>
      </c>
      <c r="I52" s="25"/>
      <c r="J52" s="25" t="s">
        <v>109</v>
      </c>
      <c r="K52" s="27"/>
      <c r="L52" s="27"/>
      <c r="M52" s="27"/>
    </row>
    <row r="53" customFormat="false" ht="15" hidden="false" customHeight="false" outlineLevel="0" collapsed="false">
      <c r="A53" s="25" t="s">
        <v>277</v>
      </c>
      <c r="B53" s="25" t="s">
        <v>35</v>
      </c>
      <c r="C53" s="25" t="s">
        <v>270</v>
      </c>
      <c r="D53" s="25" t="s">
        <v>278</v>
      </c>
      <c r="E53" s="29" t="s">
        <v>8</v>
      </c>
      <c r="F53" s="25" t="s">
        <v>279</v>
      </c>
      <c r="G53" s="25"/>
      <c r="H53" s="25" t="s">
        <v>61</v>
      </c>
      <c r="I53" s="25"/>
      <c r="J53" s="25" t="s">
        <v>109</v>
      </c>
      <c r="K53" s="27"/>
      <c r="L53" s="27"/>
      <c r="M53" s="27"/>
    </row>
    <row r="54" customFormat="false" ht="22.35" hidden="false" customHeight="false" outlineLevel="0" collapsed="false">
      <c r="A54" s="25" t="s">
        <v>280</v>
      </c>
      <c r="B54" s="25" t="s">
        <v>35</v>
      </c>
      <c r="C54" s="25" t="s">
        <v>281</v>
      </c>
      <c r="D54" s="25" t="s">
        <v>282</v>
      </c>
      <c r="E54" s="29" t="s">
        <v>8</v>
      </c>
      <c r="F54" s="25" t="s">
        <v>283</v>
      </c>
      <c r="G54" s="25"/>
      <c r="H54" s="25" t="s">
        <v>61</v>
      </c>
      <c r="I54" s="25"/>
      <c r="J54" s="25" t="s">
        <v>232</v>
      </c>
      <c r="K54" s="27"/>
      <c r="L54" s="27"/>
      <c r="M54" s="27"/>
    </row>
    <row r="55" customFormat="false" ht="22.35" hidden="false" customHeight="false" outlineLevel="0" collapsed="false">
      <c r="A55" s="25" t="s">
        <v>284</v>
      </c>
      <c r="B55" s="25" t="s">
        <v>35</v>
      </c>
      <c r="C55" s="25" t="s">
        <v>281</v>
      </c>
      <c r="D55" s="25" t="s">
        <v>285</v>
      </c>
      <c r="E55" s="29" t="s">
        <v>8</v>
      </c>
      <c r="F55" s="25" t="s">
        <v>286</v>
      </c>
      <c r="G55" s="25"/>
      <c r="H55" s="25" t="s">
        <v>61</v>
      </c>
      <c r="I55" s="25"/>
      <c r="J55" s="25" t="s">
        <v>232</v>
      </c>
      <c r="K55" s="27"/>
      <c r="L55" s="27"/>
      <c r="M55" s="27"/>
    </row>
    <row r="56" customFormat="false" ht="22.35" hidden="false" customHeight="false" outlineLevel="0" collapsed="false">
      <c r="A56" s="25" t="s">
        <v>287</v>
      </c>
      <c r="B56" s="25" t="s">
        <v>35</v>
      </c>
      <c r="C56" s="25" t="s">
        <v>281</v>
      </c>
      <c r="D56" s="25" t="s">
        <v>288</v>
      </c>
      <c r="E56" s="29" t="s">
        <v>8</v>
      </c>
      <c r="F56" s="25" t="s">
        <v>289</v>
      </c>
      <c r="G56" s="25"/>
      <c r="H56" s="25" t="s">
        <v>61</v>
      </c>
      <c r="I56" s="25"/>
      <c r="J56" s="25" t="s">
        <v>232</v>
      </c>
      <c r="K56" s="27"/>
      <c r="L56" s="27"/>
      <c r="M56" s="27"/>
    </row>
    <row r="57" customFormat="false" ht="22.35" hidden="false" customHeight="false" outlineLevel="0" collapsed="false">
      <c r="A57" s="25" t="s">
        <v>290</v>
      </c>
      <c r="B57" s="25" t="s">
        <v>35</v>
      </c>
      <c r="C57" s="25" t="s">
        <v>281</v>
      </c>
      <c r="D57" s="25" t="s">
        <v>291</v>
      </c>
      <c r="E57" s="29" t="s">
        <v>8</v>
      </c>
      <c r="F57" s="25" t="s">
        <v>292</v>
      </c>
      <c r="G57" s="25"/>
      <c r="H57" s="25" t="s">
        <v>61</v>
      </c>
      <c r="I57" s="25"/>
      <c r="J57" s="25" t="s">
        <v>232</v>
      </c>
      <c r="K57" s="27"/>
      <c r="L57" s="27"/>
      <c r="M57" s="27"/>
    </row>
    <row r="58" customFormat="false" ht="22.35" hidden="false" customHeight="false" outlineLevel="0" collapsed="false">
      <c r="A58" s="25" t="s">
        <v>293</v>
      </c>
      <c r="B58" s="25" t="s">
        <v>35</v>
      </c>
      <c r="C58" s="25" t="s">
        <v>281</v>
      </c>
      <c r="D58" s="25" t="s">
        <v>294</v>
      </c>
      <c r="E58" s="29" t="s">
        <v>8</v>
      </c>
      <c r="F58" s="25" t="s">
        <v>295</v>
      </c>
      <c r="G58" s="25"/>
      <c r="H58" s="25" t="s">
        <v>61</v>
      </c>
      <c r="I58" s="25"/>
      <c r="J58" s="25" t="s">
        <v>232</v>
      </c>
      <c r="K58" s="27"/>
      <c r="L58" s="27"/>
      <c r="M58" s="27"/>
    </row>
    <row r="59" customFormat="false" ht="22.35" hidden="false" customHeight="false" outlineLevel="0" collapsed="false">
      <c r="A59" s="25" t="s">
        <v>296</v>
      </c>
      <c r="B59" s="25" t="s">
        <v>35</v>
      </c>
      <c r="C59" s="25" t="s">
        <v>297</v>
      </c>
      <c r="D59" s="25" t="s">
        <v>298</v>
      </c>
      <c r="E59" s="28" t="s">
        <v>12</v>
      </c>
      <c r="F59" s="25" t="s">
        <v>299</v>
      </c>
      <c r="G59" s="25" t="s">
        <v>300</v>
      </c>
      <c r="H59" s="25" t="s">
        <v>301</v>
      </c>
      <c r="I59" s="25" t="s">
        <v>302</v>
      </c>
      <c r="J59" s="25" t="s">
        <v>215</v>
      </c>
      <c r="K59" s="27"/>
      <c r="L59" s="27"/>
      <c r="M59" s="27"/>
    </row>
    <row r="60" customFormat="false" ht="32.8" hidden="false" customHeight="false" outlineLevel="0" collapsed="false">
      <c r="A60" s="25" t="s">
        <v>303</v>
      </c>
      <c r="B60" s="25" t="s">
        <v>35</v>
      </c>
      <c r="C60" s="25" t="s">
        <v>297</v>
      </c>
      <c r="D60" s="25" t="s">
        <v>304</v>
      </c>
      <c r="E60" s="30" t="s">
        <v>14</v>
      </c>
      <c r="F60" s="25" t="s">
        <v>305</v>
      </c>
      <c r="G60" s="25"/>
      <c r="H60" s="25" t="s">
        <v>306</v>
      </c>
      <c r="I60" s="25" t="s">
        <v>302</v>
      </c>
      <c r="J60" s="25" t="s">
        <v>232</v>
      </c>
      <c r="K60" s="27"/>
      <c r="L60" s="27"/>
      <c r="M60" s="27"/>
    </row>
    <row r="61" customFormat="false" ht="32.8" hidden="false" customHeight="false" outlineLevel="0" collapsed="false">
      <c r="A61" s="25" t="s">
        <v>307</v>
      </c>
      <c r="B61" s="25" t="s">
        <v>35</v>
      </c>
      <c r="C61" s="25" t="s">
        <v>297</v>
      </c>
      <c r="D61" s="25" t="s">
        <v>308</v>
      </c>
      <c r="E61" s="30" t="s">
        <v>14</v>
      </c>
      <c r="F61" s="25" t="s">
        <v>309</v>
      </c>
      <c r="G61" s="25"/>
      <c r="H61" s="25" t="s">
        <v>310</v>
      </c>
      <c r="I61" s="25" t="s">
        <v>302</v>
      </c>
      <c r="J61" s="25" t="s">
        <v>232</v>
      </c>
      <c r="K61" s="27"/>
      <c r="L61" s="27"/>
      <c r="M61" s="27"/>
    </row>
    <row r="62" customFormat="false" ht="32.8" hidden="false" customHeight="false" outlineLevel="0" collapsed="false">
      <c r="A62" s="25" t="s">
        <v>311</v>
      </c>
      <c r="B62" s="25" t="s">
        <v>35</v>
      </c>
      <c r="C62" s="25" t="s">
        <v>297</v>
      </c>
      <c r="D62" s="25" t="s">
        <v>312</v>
      </c>
      <c r="E62" s="30" t="s">
        <v>14</v>
      </c>
      <c r="F62" s="25" t="s">
        <v>305</v>
      </c>
      <c r="G62" s="25"/>
      <c r="H62" s="25" t="s">
        <v>313</v>
      </c>
      <c r="I62" s="25" t="s">
        <v>302</v>
      </c>
      <c r="J62" s="25" t="s">
        <v>232</v>
      </c>
      <c r="K62" s="27"/>
      <c r="L62" s="27"/>
      <c r="M62" s="27"/>
    </row>
    <row r="63" customFormat="false" ht="22.35" hidden="false" customHeight="false" outlineLevel="0" collapsed="false">
      <c r="A63" s="25" t="s">
        <v>314</v>
      </c>
      <c r="B63" s="25" t="s">
        <v>35</v>
      </c>
      <c r="C63" s="25" t="s">
        <v>297</v>
      </c>
      <c r="D63" s="25" t="s">
        <v>315</v>
      </c>
      <c r="E63" s="30" t="s">
        <v>14</v>
      </c>
      <c r="F63" s="25" t="s">
        <v>316</v>
      </c>
      <c r="G63" s="25" t="s">
        <v>317</v>
      </c>
      <c r="H63" s="25" t="s">
        <v>318</v>
      </c>
      <c r="I63" s="25" t="s">
        <v>319</v>
      </c>
      <c r="J63" s="25" t="s">
        <v>320</v>
      </c>
      <c r="K63" s="27"/>
      <c r="L63" s="27"/>
      <c r="M63" s="27"/>
    </row>
    <row r="64" customFormat="false" ht="15" hidden="false" customHeight="false" outlineLevel="0" collapsed="false">
      <c r="A64" s="25" t="s">
        <v>321</v>
      </c>
      <c r="B64" s="25" t="s">
        <v>35</v>
      </c>
      <c r="C64" s="25" t="s">
        <v>297</v>
      </c>
      <c r="D64" s="25" t="s">
        <v>322</v>
      </c>
      <c r="E64" s="30" t="s">
        <v>14</v>
      </c>
      <c r="F64" s="25" t="s">
        <v>323</v>
      </c>
      <c r="G64" s="25"/>
      <c r="H64" s="25" t="s">
        <v>324</v>
      </c>
      <c r="I64" s="25" t="s">
        <v>319</v>
      </c>
      <c r="J64" s="25" t="s">
        <v>232</v>
      </c>
      <c r="K64" s="27"/>
      <c r="L64" s="27"/>
      <c r="M64" s="27"/>
    </row>
    <row r="65" customFormat="false" ht="22.35" hidden="false" customHeight="false" outlineLevel="0" collapsed="false">
      <c r="A65" s="25" t="s">
        <v>325</v>
      </c>
      <c r="B65" s="25" t="s">
        <v>35</v>
      </c>
      <c r="C65" s="25" t="s">
        <v>326</v>
      </c>
      <c r="D65" s="25" t="s">
        <v>327</v>
      </c>
      <c r="E65" s="29" t="s">
        <v>8</v>
      </c>
      <c r="F65" s="25" t="s">
        <v>328</v>
      </c>
      <c r="G65" s="25"/>
      <c r="H65" s="25" t="s">
        <v>61</v>
      </c>
      <c r="I65" s="25"/>
      <c r="J65" s="25" t="s">
        <v>329</v>
      </c>
      <c r="K65" s="27"/>
      <c r="L65" s="27"/>
      <c r="M65" s="27"/>
    </row>
    <row r="66" customFormat="false" ht="22.35" hidden="false" customHeight="false" outlineLevel="0" collapsed="false">
      <c r="A66" s="25" t="s">
        <v>330</v>
      </c>
      <c r="B66" s="25" t="s">
        <v>35</v>
      </c>
      <c r="C66" s="25" t="s">
        <v>326</v>
      </c>
      <c r="D66" s="25" t="s">
        <v>331</v>
      </c>
      <c r="E66" s="29" t="s">
        <v>8</v>
      </c>
      <c r="F66" s="25" t="s">
        <v>332</v>
      </c>
      <c r="G66" s="25"/>
      <c r="H66" s="25" t="s">
        <v>61</v>
      </c>
      <c r="I66" s="25"/>
      <c r="J66" s="25" t="s">
        <v>329</v>
      </c>
      <c r="K66" s="27"/>
      <c r="L66" s="27"/>
      <c r="M66" s="27"/>
    </row>
    <row r="67" customFormat="false" ht="22.35" hidden="false" customHeight="false" outlineLevel="0" collapsed="false">
      <c r="A67" s="25" t="s">
        <v>333</v>
      </c>
      <c r="B67" s="25" t="s">
        <v>35</v>
      </c>
      <c r="C67" s="25" t="s">
        <v>326</v>
      </c>
      <c r="D67" s="25" t="s">
        <v>334</v>
      </c>
      <c r="E67" s="29" t="s">
        <v>8</v>
      </c>
      <c r="F67" s="25" t="s">
        <v>335</v>
      </c>
      <c r="G67" s="25"/>
      <c r="H67" s="25" t="s">
        <v>61</v>
      </c>
      <c r="I67" s="25"/>
      <c r="J67" s="25" t="s">
        <v>329</v>
      </c>
      <c r="K67" s="27"/>
      <c r="L67" s="27"/>
      <c r="M67" s="27"/>
    </row>
    <row r="68" customFormat="false" ht="22.35" hidden="false" customHeight="false" outlineLevel="0" collapsed="false">
      <c r="A68" s="25" t="s">
        <v>336</v>
      </c>
      <c r="B68" s="25" t="s">
        <v>35</v>
      </c>
      <c r="C68" s="25" t="s">
        <v>326</v>
      </c>
      <c r="D68" s="25" t="s">
        <v>337</v>
      </c>
      <c r="E68" s="29" t="s">
        <v>8</v>
      </c>
      <c r="F68" s="25" t="s">
        <v>338</v>
      </c>
      <c r="G68" s="25"/>
      <c r="H68" s="25" t="s">
        <v>61</v>
      </c>
      <c r="I68" s="25"/>
      <c r="J68" s="25" t="s">
        <v>329</v>
      </c>
      <c r="K68" s="27"/>
      <c r="L68" s="27"/>
      <c r="M68" s="27"/>
    </row>
    <row r="69" customFormat="false" ht="22.35" hidden="false" customHeight="false" outlineLevel="0" collapsed="false">
      <c r="A69" s="25" t="s">
        <v>339</v>
      </c>
      <c r="B69" s="25" t="s">
        <v>35</v>
      </c>
      <c r="C69" s="25" t="s">
        <v>340</v>
      </c>
      <c r="D69" s="25" t="s">
        <v>341</v>
      </c>
      <c r="E69" s="29" t="s">
        <v>8</v>
      </c>
      <c r="F69" s="25" t="s">
        <v>342</v>
      </c>
      <c r="G69" s="25" t="s">
        <v>343</v>
      </c>
      <c r="H69" s="25" t="s">
        <v>61</v>
      </c>
      <c r="I69" s="25"/>
      <c r="J69" s="25" t="s">
        <v>123</v>
      </c>
      <c r="K69" s="27"/>
      <c r="L69" s="27"/>
      <c r="M69" s="27"/>
    </row>
    <row r="70" customFormat="false" ht="15" hidden="false" customHeight="false" outlineLevel="0" collapsed="false">
      <c r="A70" s="25" t="s">
        <v>344</v>
      </c>
      <c r="B70" s="25" t="s">
        <v>35</v>
      </c>
      <c r="C70" s="25" t="s">
        <v>340</v>
      </c>
      <c r="D70" s="25" t="s">
        <v>345</v>
      </c>
      <c r="E70" s="29" t="s">
        <v>8</v>
      </c>
      <c r="F70" s="25" t="s">
        <v>346</v>
      </c>
      <c r="G70" s="25"/>
      <c r="H70" s="25" t="s">
        <v>61</v>
      </c>
      <c r="I70" s="25"/>
      <c r="J70" s="25" t="s">
        <v>123</v>
      </c>
      <c r="K70" s="27"/>
      <c r="L70" s="27"/>
      <c r="M70" s="27"/>
    </row>
    <row r="71" customFormat="false" ht="15" hidden="false" customHeight="false" outlineLevel="0" collapsed="false">
      <c r="A71" s="25" t="s">
        <v>347</v>
      </c>
      <c r="B71" s="25" t="s">
        <v>35</v>
      </c>
      <c r="C71" s="25" t="s">
        <v>340</v>
      </c>
      <c r="D71" s="25" t="s">
        <v>348</v>
      </c>
      <c r="E71" s="29" t="s">
        <v>8</v>
      </c>
      <c r="F71" s="25" t="s">
        <v>349</v>
      </c>
      <c r="G71" s="25" t="s">
        <v>350</v>
      </c>
      <c r="H71" s="25" t="s">
        <v>61</v>
      </c>
      <c r="I71" s="25"/>
      <c r="J71" s="25" t="s">
        <v>123</v>
      </c>
      <c r="K71" s="27"/>
      <c r="L71" s="27"/>
      <c r="M71" s="27"/>
    </row>
    <row r="72" customFormat="false" ht="15" hidden="false" customHeight="false" outlineLevel="0" collapsed="false">
      <c r="A72" s="25" t="s">
        <v>351</v>
      </c>
      <c r="B72" s="25" t="s">
        <v>35</v>
      </c>
      <c r="C72" s="25" t="s">
        <v>340</v>
      </c>
      <c r="D72" s="25" t="s">
        <v>352</v>
      </c>
      <c r="E72" s="29" t="s">
        <v>8</v>
      </c>
      <c r="F72" s="25" t="s">
        <v>353</v>
      </c>
      <c r="G72" s="25"/>
      <c r="H72" s="25" t="s">
        <v>61</v>
      </c>
      <c r="I72" s="25"/>
      <c r="J72" s="25" t="s">
        <v>354</v>
      </c>
      <c r="K72" s="27"/>
      <c r="L72" s="27"/>
      <c r="M72" s="27"/>
    </row>
    <row r="73" customFormat="false" ht="22.35" hidden="false" customHeight="false" outlineLevel="0" collapsed="false">
      <c r="A73" s="25" t="s">
        <v>355</v>
      </c>
      <c r="B73" s="25" t="s">
        <v>35</v>
      </c>
      <c r="C73" s="25" t="s">
        <v>340</v>
      </c>
      <c r="D73" s="25" t="s">
        <v>356</v>
      </c>
      <c r="E73" s="29" t="s">
        <v>8</v>
      </c>
      <c r="F73" s="25" t="s">
        <v>357</v>
      </c>
      <c r="G73" s="25"/>
      <c r="H73" s="25" t="s">
        <v>61</v>
      </c>
      <c r="I73" s="25"/>
      <c r="J73" s="25" t="s">
        <v>170</v>
      </c>
      <c r="K73" s="27"/>
      <c r="L73" s="27"/>
      <c r="M73" s="27"/>
    </row>
    <row r="74" customFormat="false" ht="22.35" hidden="false" customHeight="false" outlineLevel="0" collapsed="false">
      <c r="A74" s="25" t="s">
        <v>358</v>
      </c>
      <c r="B74" s="25" t="s">
        <v>36</v>
      </c>
      <c r="C74" s="25" t="s">
        <v>256</v>
      </c>
      <c r="D74" s="25" t="s">
        <v>359</v>
      </c>
      <c r="E74" s="29" t="s">
        <v>8</v>
      </c>
      <c r="F74" s="25" t="s">
        <v>360</v>
      </c>
      <c r="G74" s="25" t="s">
        <v>361</v>
      </c>
      <c r="H74" s="25" t="s">
        <v>61</v>
      </c>
      <c r="I74" s="25"/>
      <c r="J74" s="25" t="s">
        <v>150</v>
      </c>
      <c r="K74" s="27"/>
      <c r="L74" s="27"/>
      <c r="M74" s="27"/>
    </row>
    <row r="75" customFormat="false" ht="15" hidden="false" customHeight="false" outlineLevel="0" collapsed="false">
      <c r="A75" s="25" t="s">
        <v>362</v>
      </c>
      <c r="B75" s="25" t="s">
        <v>36</v>
      </c>
      <c r="C75" s="25" t="s">
        <v>256</v>
      </c>
      <c r="D75" s="25" t="s">
        <v>363</v>
      </c>
      <c r="E75" s="29" t="s">
        <v>8</v>
      </c>
      <c r="F75" s="25" t="s">
        <v>360</v>
      </c>
      <c r="G75" s="25" t="s">
        <v>361</v>
      </c>
      <c r="H75" s="25" t="s">
        <v>61</v>
      </c>
      <c r="I75" s="25"/>
      <c r="J75" s="25" t="s">
        <v>150</v>
      </c>
      <c r="K75" s="27"/>
      <c r="L75" s="27"/>
      <c r="M75" s="27"/>
    </row>
    <row r="76" customFormat="false" ht="15" hidden="false" customHeight="false" outlineLevel="0" collapsed="false">
      <c r="A76" s="25" t="s">
        <v>364</v>
      </c>
      <c r="B76" s="25" t="s">
        <v>36</v>
      </c>
      <c r="C76" s="25" t="s">
        <v>256</v>
      </c>
      <c r="D76" s="25" t="s">
        <v>365</v>
      </c>
      <c r="E76" s="29" t="s">
        <v>8</v>
      </c>
      <c r="F76" s="25" t="s">
        <v>360</v>
      </c>
      <c r="G76" s="25" t="s">
        <v>361</v>
      </c>
      <c r="H76" s="25" t="s">
        <v>61</v>
      </c>
      <c r="I76" s="25"/>
      <c r="J76" s="25" t="s">
        <v>150</v>
      </c>
      <c r="K76" s="27"/>
      <c r="L76" s="27"/>
      <c r="M76" s="27"/>
    </row>
    <row r="77" customFormat="false" ht="15" hidden="false" customHeight="false" outlineLevel="0" collapsed="false">
      <c r="A77" s="25" t="s">
        <v>366</v>
      </c>
      <c r="B77" s="25" t="s">
        <v>36</v>
      </c>
      <c r="C77" s="25" t="s">
        <v>256</v>
      </c>
      <c r="D77" s="25" t="s">
        <v>367</v>
      </c>
      <c r="E77" s="29" t="s">
        <v>8</v>
      </c>
      <c r="F77" s="25" t="s">
        <v>360</v>
      </c>
      <c r="G77" s="25" t="s">
        <v>361</v>
      </c>
      <c r="H77" s="25" t="s">
        <v>61</v>
      </c>
      <c r="I77" s="25"/>
      <c r="J77" s="25" t="s">
        <v>150</v>
      </c>
      <c r="K77" s="27"/>
      <c r="L77" s="27"/>
      <c r="M77" s="27"/>
    </row>
    <row r="78" customFormat="false" ht="22.35" hidden="false" customHeight="false" outlineLevel="0" collapsed="false">
      <c r="A78" s="25" t="s">
        <v>368</v>
      </c>
      <c r="B78" s="25" t="s">
        <v>36</v>
      </c>
      <c r="C78" s="25" t="s">
        <v>369</v>
      </c>
      <c r="D78" s="25" t="s">
        <v>370</v>
      </c>
      <c r="E78" s="29" t="s">
        <v>8</v>
      </c>
      <c r="F78" s="25" t="s">
        <v>371</v>
      </c>
      <c r="G78" s="25" t="s">
        <v>361</v>
      </c>
      <c r="H78" s="25" t="s">
        <v>61</v>
      </c>
      <c r="I78" s="25"/>
      <c r="J78" s="25" t="s">
        <v>150</v>
      </c>
      <c r="K78" s="27"/>
      <c r="L78" s="27"/>
      <c r="M78" s="27"/>
    </row>
    <row r="79" customFormat="false" ht="22.35" hidden="false" customHeight="false" outlineLevel="0" collapsed="false">
      <c r="A79" s="25" t="s">
        <v>372</v>
      </c>
      <c r="B79" s="25" t="s">
        <v>36</v>
      </c>
      <c r="C79" s="25" t="s">
        <v>369</v>
      </c>
      <c r="D79" s="25" t="s">
        <v>373</v>
      </c>
      <c r="E79" s="29" t="s">
        <v>8</v>
      </c>
      <c r="F79" s="25" t="s">
        <v>371</v>
      </c>
      <c r="G79" s="25" t="s">
        <v>361</v>
      </c>
      <c r="H79" s="25" t="s">
        <v>61</v>
      </c>
      <c r="I79" s="25"/>
      <c r="J79" s="25" t="s">
        <v>150</v>
      </c>
      <c r="K79" s="27"/>
      <c r="L79" s="27"/>
      <c r="M79" s="27"/>
    </row>
    <row r="80" customFormat="false" ht="22.35" hidden="false" customHeight="false" outlineLevel="0" collapsed="false">
      <c r="A80" s="25" t="s">
        <v>374</v>
      </c>
      <c r="B80" s="25" t="s">
        <v>36</v>
      </c>
      <c r="C80" s="25" t="s">
        <v>369</v>
      </c>
      <c r="D80" s="25" t="s">
        <v>375</v>
      </c>
      <c r="E80" s="29" t="s">
        <v>8</v>
      </c>
      <c r="F80" s="25" t="s">
        <v>371</v>
      </c>
      <c r="G80" s="25" t="s">
        <v>361</v>
      </c>
      <c r="H80" s="25" t="s">
        <v>61</v>
      </c>
      <c r="I80" s="25"/>
      <c r="J80" s="25" t="s">
        <v>150</v>
      </c>
      <c r="K80" s="27"/>
      <c r="L80" s="27"/>
      <c r="M80" s="27"/>
    </row>
    <row r="81" customFormat="false" ht="22.35" hidden="false" customHeight="false" outlineLevel="0" collapsed="false">
      <c r="A81" s="25" t="s">
        <v>376</v>
      </c>
      <c r="B81" s="25" t="s">
        <v>36</v>
      </c>
      <c r="C81" s="25" t="s">
        <v>369</v>
      </c>
      <c r="D81" s="25" t="s">
        <v>377</v>
      </c>
      <c r="E81" s="29" t="s">
        <v>8</v>
      </c>
      <c r="F81" s="25" t="s">
        <v>371</v>
      </c>
      <c r="G81" s="25" t="s">
        <v>361</v>
      </c>
      <c r="H81" s="25" t="s">
        <v>61</v>
      </c>
      <c r="I81" s="25"/>
      <c r="J81" s="25" t="s">
        <v>150</v>
      </c>
      <c r="K81" s="27"/>
      <c r="L81" s="27"/>
      <c r="M81" s="27"/>
    </row>
    <row r="82" customFormat="false" ht="22.35" hidden="false" customHeight="false" outlineLevel="0" collapsed="false">
      <c r="A82" s="25" t="s">
        <v>378</v>
      </c>
      <c r="B82" s="25" t="s">
        <v>36</v>
      </c>
      <c r="C82" s="25" t="s">
        <v>369</v>
      </c>
      <c r="D82" s="25" t="s">
        <v>379</v>
      </c>
      <c r="E82" s="29" t="s">
        <v>8</v>
      </c>
      <c r="F82" s="25" t="s">
        <v>371</v>
      </c>
      <c r="G82" s="25" t="s">
        <v>361</v>
      </c>
      <c r="H82" s="25" t="s">
        <v>61</v>
      </c>
      <c r="I82" s="25"/>
      <c r="J82" s="25" t="s">
        <v>150</v>
      </c>
      <c r="K82" s="27"/>
      <c r="L82" s="27"/>
      <c r="M82" s="27"/>
    </row>
    <row r="83" customFormat="false" ht="22.35" hidden="false" customHeight="false" outlineLevel="0" collapsed="false">
      <c r="A83" s="25" t="s">
        <v>380</v>
      </c>
      <c r="B83" s="25" t="s">
        <v>36</v>
      </c>
      <c r="C83" s="25" t="s">
        <v>381</v>
      </c>
      <c r="D83" s="25" t="s">
        <v>382</v>
      </c>
      <c r="E83" s="29" t="s">
        <v>8</v>
      </c>
      <c r="F83" s="25" t="s">
        <v>383</v>
      </c>
      <c r="G83" s="25" t="s">
        <v>361</v>
      </c>
      <c r="H83" s="25" t="s">
        <v>61</v>
      </c>
      <c r="I83" s="25"/>
      <c r="J83" s="25" t="s">
        <v>150</v>
      </c>
      <c r="K83" s="27"/>
      <c r="L83" s="27"/>
      <c r="M83" s="27"/>
    </row>
    <row r="84" customFormat="false" ht="22.35" hidden="false" customHeight="false" outlineLevel="0" collapsed="false">
      <c r="A84" s="25" t="s">
        <v>384</v>
      </c>
      <c r="B84" s="25" t="s">
        <v>36</v>
      </c>
      <c r="C84" s="25" t="s">
        <v>381</v>
      </c>
      <c r="D84" s="25" t="s">
        <v>385</v>
      </c>
      <c r="E84" s="29" t="s">
        <v>8</v>
      </c>
      <c r="F84" s="25" t="s">
        <v>383</v>
      </c>
      <c r="G84" s="25" t="s">
        <v>361</v>
      </c>
      <c r="H84" s="25" t="s">
        <v>61</v>
      </c>
      <c r="I84" s="25"/>
      <c r="J84" s="25" t="s">
        <v>150</v>
      </c>
      <c r="K84" s="27"/>
      <c r="L84" s="27"/>
      <c r="M84" s="27"/>
    </row>
    <row r="85" customFormat="false" ht="15" hidden="false" customHeight="false" outlineLevel="0" collapsed="false">
      <c r="A85" s="25" t="s">
        <v>386</v>
      </c>
      <c r="B85" s="25" t="s">
        <v>36</v>
      </c>
      <c r="C85" s="25" t="s">
        <v>381</v>
      </c>
      <c r="D85" s="25" t="s">
        <v>387</v>
      </c>
      <c r="E85" s="29" t="s">
        <v>8</v>
      </c>
      <c r="F85" s="25" t="s">
        <v>383</v>
      </c>
      <c r="G85" s="25" t="s">
        <v>361</v>
      </c>
      <c r="H85" s="25" t="s">
        <v>61</v>
      </c>
      <c r="I85" s="25"/>
      <c r="J85" s="25" t="s">
        <v>150</v>
      </c>
      <c r="K85" s="27"/>
      <c r="L85" s="27"/>
      <c r="M85" s="27"/>
    </row>
    <row r="86" customFormat="false" ht="15" hidden="false" customHeight="false" outlineLevel="0" collapsed="false">
      <c r="A86" s="25" t="s">
        <v>388</v>
      </c>
      <c r="B86" s="25" t="s">
        <v>36</v>
      </c>
      <c r="C86" s="25" t="s">
        <v>381</v>
      </c>
      <c r="D86" s="25" t="s">
        <v>389</v>
      </c>
      <c r="E86" s="29" t="s">
        <v>8</v>
      </c>
      <c r="F86" s="25" t="s">
        <v>383</v>
      </c>
      <c r="G86" s="25" t="s">
        <v>361</v>
      </c>
      <c r="H86" s="25" t="s">
        <v>61</v>
      </c>
      <c r="I86" s="25"/>
      <c r="J86" s="25" t="s">
        <v>150</v>
      </c>
      <c r="K86" s="27"/>
      <c r="L86" s="27"/>
      <c r="M86" s="27"/>
    </row>
    <row r="87" customFormat="false" ht="22.35" hidden="false" customHeight="false" outlineLevel="0" collapsed="false">
      <c r="A87" s="25" t="s">
        <v>390</v>
      </c>
      <c r="B87" s="25" t="s">
        <v>36</v>
      </c>
      <c r="C87" s="25" t="s">
        <v>391</v>
      </c>
      <c r="D87" s="25" t="s">
        <v>392</v>
      </c>
      <c r="E87" s="29" t="s">
        <v>8</v>
      </c>
      <c r="F87" s="25" t="s">
        <v>393</v>
      </c>
      <c r="G87" s="25" t="s">
        <v>361</v>
      </c>
      <c r="H87" s="25" t="s">
        <v>61</v>
      </c>
      <c r="I87" s="25"/>
      <c r="J87" s="25" t="s">
        <v>150</v>
      </c>
      <c r="K87" s="27"/>
      <c r="L87" s="27"/>
      <c r="M87" s="27"/>
    </row>
    <row r="88" customFormat="false" ht="22.35" hidden="false" customHeight="false" outlineLevel="0" collapsed="false">
      <c r="A88" s="25" t="s">
        <v>394</v>
      </c>
      <c r="B88" s="25" t="s">
        <v>36</v>
      </c>
      <c r="C88" s="25" t="s">
        <v>391</v>
      </c>
      <c r="D88" s="25" t="s">
        <v>395</v>
      </c>
      <c r="E88" s="29" t="s">
        <v>8</v>
      </c>
      <c r="F88" s="25" t="s">
        <v>393</v>
      </c>
      <c r="G88" s="25" t="s">
        <v>361</v>
      </c>
      <c r="H88" s="25" t="s">
        <v>61</v>
      </c>
      <c r="I88" s="25"/>
      <c r="J88" s="25" t="s">
        <v>150</v>
      </c>
      <c r="K88" s="27"/>
      <c r="L88" s="27"/>
      <c r="M88" s="27"/>
    </row>
    <row r="89" customFormat="false" ht="15" hidden="false" customHeight="false" outlineLevel="0" collapsed="false">
      <c r="A89" s="25" t="s">
        <v>396</v>
      </c>
      <c r="B89" s="25" t="s">
        <v>36</v>
      </c>
      <c r="C89" s="25" t="s">
        <v>391</v>
      </c>
      <c r="D89" s="25" t="s">
        <v>397</v>
      </c>
      <c r="E89" s="29" t="s">
        <v>8</v>
      </c>
      <c r="F89" s="25" t="s">
        <v>393</v>
      </c>
      <c r="G89" s="25" t="s">
        <v>361</v>
      </c>
      <c r="H89" s="25" t="s">
        <v>61</v>
      </c>
      <c r="I89" s="25"/>
      <c r="J89" s="25" t="s">
        <v>150</v>
      </c>
      <c r="K89" s="27"/>
      <c r="L89" s="27"/>
      <c r="M89" s="27"/>
    </row>
    <row r="90" customFormat="false" ht="22.35" hidden="false" customHeight="false" outlineLevel="0" collapsed="false">
      <c r="A90" s="25" t="s">
        <v>398</v>
      </c>
      <c r="B90" s="25" t="s">
        <v>36</v>
      </c>
      <c r="C90" s="25" t="s">
        <v>391</v>
      </c>
      <c r="D90" s="25" t="s">
        <v>399</v>
      </c>
      <c r="E90" s="29" t="s">
        <v>8</v>
      </c>
      <c r="F90" s="25" t="s">
        <v>393</v>
      </c>
      <c r="G90" s="25" t="s">
        <v>361</v>
      </c>
      <c r="H90" s="25" t="s">
        <v>61</v>
      </c>
      <c r="I90" s="25"/>
      <c r="J90" s="25" t="s">
        <v>150</v>
      </c>
      <c r="K90" s="27"/>
      <c r="L90" s="27"/>
      <c r="M90" s="27"/>
    </row>
    <row r="91" customFormat="false" ht="22.35" hidden="false" customHeight="false" outlineLevel="0" collapsed="false">
      <c r="A91" s="25" t="s">
        <v>400</v>
      </c>
      <c r="B91" s="25" t="s">
        <v>36</v>
      </c>
      <c r="C91" s="25" t="s">
        <v>401</v>
      </c>
      <c r="D91" s="25" t="s">
        <v>402</v>
      </c>
      <c r="E91" s="29" t="s">
        <v>8</v>
      </c>
      <c r="F91" s="25" t="s">
        <v>403</v>
      </c>
      <c r="G91" s="25" t="s">
        <v>361</v>
      </c>
      <c r="H91" s="25" t="s">
        <v>61</v>
      </c>
      <c r="I91" s="25"/>
      <c r="J91" s="25" t="s">
        <v>150</v>
      </c>
      <c r="K91" s="27"/>
      <c r="L91" s="27"/>
      <c r="M91" s="27"/>
    </row>
    <row r="92" customFormat="false" ht="22.35" hidden="false" customHeight="false" outlineLevel="0" collapsed="false">
      <c r="A92" s="25" t="s">
        <v>404</v>
      </c>
      <c r="B92" s="25" t="s">
        <v>36</v>
      </c>
      <c r="C92" s="25" t="s">
        <v>401</v>
      </c>
      <c r="D92" s="25" t="s">
        <v>405</v>
      </c>
      <c r="E92" s="29" t="s">
        <v>8</v>
      </c>
      <c r="F92" s="25" t="s">
        <v>403</v>
      </c>
      <c r="G92" s="25" t="s">
        <v>361</v>
      </c>
      <c r="H92" s="25" t="s">
        <v>61</v>
      </c>
      <c r="I92" s="25"/>
      <c r="J92" s="25" t="s">
        <v>150</v>
      </c>
      <c r="K92" s="27"/>
      <c r="L92" s="27"/>
      <c r="M92" s="27"/>
    </row>
    <row r="93" customFormat="false" ht="22.35" hidden="false" customHeight="false" outlineLevel="0" collapsed="false">
      <c r="A93" s="25" t="s">
        <v>406</v>
      </c>
      <c r="B93" s="25" t="s">
        <v>36</v>
      </c>
      <c r="C93" s="25" t="s">
        <v>401</v>
      </c>
      <c r="D93" s="25" t="s">
        <v>407</v>
      </c>
      <c r="E93" s="29" t="s">
        <v>8</v>
      </c>
      <c r="F93" s="25" t="s">
        <v>403</v>
      </c>
      <c r="G93" s="25" t="s">
        <v>361</v>
      </c>
      <c r="H93" s="25" t="s">
        <v>61</v>
      </c>
      <c r="I93" s="25"/>
      <c r="J93" s="25" t="s">
        <v>150</v>
      </c>
      <c r="K93" s="27"/>
      <c r="L93" s="27"/>
      <c r="M93" s="27"/>
    </row>
    <row r="94" customFormat="false" ht="15" hidden="false" customHeight="false" outlineLevel="0" collapsed="false">
      <c r="A94" s="25" t="s">
        <v>408</v>
      </c>
      <c r="B94" s="25" t="s">
        <v>36</v>
      </c>
      <c r="C94" s="25" t="s">
        <v>409</v>
      </c>
      <c r="D94" s="25" t="s">
        <v>410</v>
      </c>
      <c r="E94" s="29" t="s">
        <v>8</v>
      </c>
      <c r="F94" s="25" t="s">
        <v>411</v>
      </c>
      <c r="G94" s="25" t="s">
        <v>361</v>
      </c>
      <c r="H94" s="25" t="s">
        <v>61</v>
      </c>
      <c r="I94" s="25"/>
      <c r="J94" s="25" t="s">
        <v>150</v>
      </c>
      <c r="K94" s="27"/>
      <c r="L94" s="27"/>
      <c r="M94" s="27"/>
    </row>
    <row r="95" customFormat="false" ht="22.35" hidden="false" customHeight="false" outlineLevel="0" collapsed="false">
      <c r="A95" s="25" t="s">
        <v>412</v>
      </c>
      <c r="B95" s="25" t="s">
        <v>36</v>
      </c>
      <c r="C95" s="25" t="s">
        <v>409</v>
      </c>
      <c r="D95" s="25" t="s">
        <v>413</v>
      </c>
      <c r="E95" s="29" t="s">
        <v>8</v>
      </c>
      <c r="F95" s="25" t="s">
        <v>411</v>
      </c>
      <c r="G95" s="25" t="s">
        <v>361</v>
      </c>
      <c r="H95" s="25" t="s">
        <v>61</v>
      </c>
      <c r="I95" s="25"/>
      <c r="J95" s="25" t="s">
        <v>150</v>
      </c>
      <c r="K95" s="27"/>
      <c r="L95" s="27"/>
      <c r="M95" s="27"/>
    </row>
    <row r="96" customFormat="false" ht="15" hidden="false" customHeight="false" outlineLevel="0" collapsed="false">
      <c r="A96" s="25" t="s">
        <v>414</v>
      </c>
      <c r="B96" s="25" t="s">
        <v>36</v>
      </c>
      <c r="C96" s="25" t="s">
        <v>409</v>
      </c>
      <c r="D96" s="25" t="s">
        <v>415</v>
      </c>
      <c r="E96" s="29" t="s">
        <v>8</v>
      </c>
      <c r="F96" s="25" t="s">
        <v>411</v>
      </c>
      <c r="G96" s="25" t="s">
        <v>361</v>
      </c>
      <c r="H96" s="25" t="s">
        <v>61</v>
      </c>
      <c r="I96" s="25"/>
      <c r="J96" s="25" t="s">
        <v>150</v>
      </c>
      <c r="K96" s="27"/>
      <c r="L96" s="27"/>
      <c r="M96" s="27"/>
    </row>
    <row r="97" customFormat="false" ht="22.35" hidden="false" customHeight="false" outlineLevel="0" collapsed="false">
      <c r="A97" s="25" t="s">
        <v>416</v>
      </c>
      <c r="B97" s="25" t="s">
        <v>36</v>
      </c>
      <c r="C97" s="25" t="s">
        <v>401</v>
      </c>
      <c r="D97" s="25" t="s">
        <v>417</v>
      </c>
      <c r="E97" s="28" t="s">
        <v>12</v>
      </c>
      <c r="F97" s="25" t="s">
        <v>418</v>
      </c>
      <c r="G97" s="25" t="s">
        <v>419</v>
      </c>
      <c r="H97" s="25" t="s">
        <v>420</v>
      </c>
      <c r="I97" s="25" t="s">
        <v>421</v>
      </c>
      <c r="J97" s="25" t="s">
        <v>354</v>
      </c>
      <c r="K97" s="27"/>
      <c r="L97" s="27"/>
      <c r="M97" s="27"/>
    </row>
    <row r="98" customFormat="false" ht="32.8" hidden="false" customHeight="false" outlineLevel="0" collapsed="false">
      <c r="A98" s="25" t="s">
        <v>422</v>
      </c>
      <c r="B98" s="25" t="s">
        <v>36</v>
      </c>
      <c r="C98" s="25" t="s">
        <v>409</v>
      </c>
      <c r="D98" s="25" t="s">
        <v>423</v>
      </c>
      <c r="E98" s="29" t="s">
        <v>8</v>
      </c>
      <c r="F98" s="25" t="s">
        <v>424</v>
      </c>
      <c r="G98" s="25" t="s">
        <v>425</v>
      </c>
      <c r="H98" s="25" t="s">
        <v>426</v>
      </c>
      <c r="I98" s="25" t="s">
        <v>164</v>
      </c>
      <c r="J98" s="25" t="s">
        <v>123</v>
      </c>
      <c r="K98" s="27"/>
      <c r="L98" s="27"/>
      <c r="M98" s="27"/>
    </row>
    <row r="99" customFormat="false" ht="22.35" hidden="false" customHeight="false" outlineLevel="0" collapsed="false">
      <c r="A99" s="25" t="s">
        <v>427</v>
      </c>
      <c r="B99" s="25" t="s">
        <v>37</v>
      </c>
      <c r="C99" s="25" t="s">
        <v>256</v>
      </c>
      <c r="D99" s="25" t="s">
        <v>428</v>
      </c>
      <c r="E99" s="29" t="s">
        <v>8</v>
      </c>
      <c r="F99" s="25" t="s">
        <v>429</v>
      </c>
      <c r="G99" s="25" t="s">
        <v>430</v>
      </c>
      <c r="H99" s="25" t="s">
        <v>61</v>
      </c>
      <c r="I99" s="25"/>
      <c r="J99" s="25" t="s">
        <v>431</v>
      </c>
      <c r="K99" s="27"/>
      <c r="L99" s="27"/>
      <c r="M99" s="27"/>
    </row>
    <row r="100" customFormat="false" ht="22.35" hidden="false" customHeight="false" outlineLevel="0" collapsed="false">
      <c r="A100" s="25" t="s">
        <v>432</v>
      </c>
      <c r="B100" s="25" t="s">
        <v>37</v>
      </c>
      <c r="C100" s="25" t="s">
        <v>256</v>
      </c>
      <c r="D100" s="25" t="s">
        <v>433</v>
      </c>
      <c r="E100" s="29" t="s">
        <v>8</v>
      </c>
      <c r="F100" s="25" t="s">
        <v>434</v>
      </c>
      <c r="G100" s="25" t="s">
        <v>430</v>
      </c>
      <c r="H100" s="25" t="s">
        <v>61</v>
      </c>
      <c r="I100" s="25"/>
      <c r="J100" s="25" t="s">
        <v>431</v>
      </c>
      <c r="K100" s="27"/>
      <c r="L100" s="27"/>
      <c r="M100" s="27"/>
    </row>
    <row r="101" customFormat="false" ht="22.35" hidden="false" customHeight="false" outlineLevel="0" collapsed="false">
      <c r="A101" s="25" t="s">
        <v>435</v>
      </c>
      <c r="B101" s="25" t="s">
        <v>37</v>
      </c>
      <c r="C101" s="25" t="s">
        <v>256</v>
      </c>
      <c r="D101" s="25" t="s">
        <v>436</v>
      </c>
      <c r="E101" s="29" t="s">
        <v>8</v>
      </c>
      <c r="F101" s="25" t="s">
        <v>434</v>
      </c>
      <c r="G101" s="25" t="s">
        <v>430</v>
      </c>
      <c r="H101" s="25" t="s">
        <v>61</v>
      </c>
      <c r="I101" s="25"/>
      <c r="J101" s="25" t="s">
        <v>431</v>
      </c>
      <c r="K101" s="27"/>
      <c r="L101" s="27"/>
      <c r="M101" s="27"/>
    </row>
    <row r="102" customFormat="false" ht="22.35" hidden="false" customHeight="false" outlineLevel="0" collapsed="false">
      <c r="A102" s="25" t="s">
        <v>437</v>
      </c>
      <c r="B102" s="25" t="s">
        <v>37</v>
      </c>
      <c r="C102" s="25" t="s">
        <v>256</v>
      </c>
      <c r="D102" s="25" t="s">
        <v>438</v>
      </c>
      <c r="E102" s="29" t="s">
        <v>8</v>
      </c>
      <c r="F102" s="25" t="s">
        <v>434</v>
      </c>
      <c r="G102" s="25" t="s">
        <v>430</v>
      </c>
      <c r="H102" s="25" t="s">
        <v>61</v>
      </c>
      <c r="I102" s="25"/>
      <c r="J102" s="25" t="s">
        <v>431</v>
      </c>
      <c r="K102" s="27"/>
      <c r="L102" s="27"/>
      <c r="M102" s="27"/>
    </row>
    <row r="103" customFormat="false" ht="22.35" hidden="false" customHeight="false" outlineLevel="0" collapsed="false">
      <c r="A103" s="25" t="s">
        <v>439</v>
      </c>
      <c r="B103" s="25" t="s">
        <v>37</v>
      </c>
      <c r="C103" s="25" t="s">
        <v>440</v>
      </c>
      <c r="D103" s="25" t="s">
        <v>441</v>
      </c>
      <c r="E103" s="29" t="s">
        <v>8</v>
      </c>
      <c r="F103" s="25" t="s">
        <v>442</v>
      </c>
      <c r="G103" s="25" t="s">
        <v>430</v>
      </c>
      <c r="H103" s="25" t="s">
        <v>61</v>
      </c>
      <c r="I103" s="25"/>
      <c r="J103" s="25" t="s">
        <v>431</v>
      </c>
      <c r="K103" s="27"/>
      <c r="L103" s="27"/>
      <c r="M103" s="27"/>
    </row>
    <row r="104" customFormat="false" ht="22.35" hidden="false" customHeight="false" outlineLevel="0" collapsed="false">
      <c r="A104" s="25" t="s">
        <v>443</v>
      </c>
      <c r="B104" s="25" t="s">
        <v>37</v>
      </c>
      <c r="C104" s="25" t="s">
        <v>440</v>
      </c>
      <c r="D104" s="25" t="s">
        <v>444</v>
      </c>
      <c r="E104" s="29" t="s">
        <v>8</v>
      </c>
      <c r="F104" s="25" t="s">
        <v>442</v>
      </c>
      <c r="G104" s="25" t="s">
        <v>430</v>
      </c>
      <c r="H104" s="25" t="s">
        <v>61</v>
      </c>
      <c r="I104" s="25"/>
      <c r="J104" s="25" t="s">
        <v>431</v>
      </c>
      <c r="K104" s="27"/>
      <c r="L104" s="27"/>
      <c r="M104" s="27"/>
    </row>
    <row r="105" customFormat="false" ht="22.35" hidden="false" customHeight="false" outlineLevel="0" collapsed="false">
      <c r="A105" s="25" t="s">
        <v>445</v>
      </c>
      <c r="B105" s="25" t="s">
        <v>37</v>
      </c>
      <c r="C105" s="25" t="s">
        <v>440</v>
      </c>
      <c r="D105" s="25" t="s">
        <v>446</v>
      </c>
      <c r="E105" s="29" t="s">
        <v>8</v>
      </c>
      <c r="F105" s="25" t="s">
        <v>447</v>
      </c>
      <c r="G105" s="25" t="s">
        <v>430</v>
      </c>
      <c r="H105" s="25" t="s">
        <v>61</v>
      </c>
      <c r="I105" s="25"/>
      <c r="J105" s="25" t="s">
        <v>431</v>
      </c>
      <c r="K105" s="27"/>
      <c r="L105" s="27"/>
      <c r="M105" s="27"/>
    </row>
    <row r="106" customFormat="false" ht="22.35" hidden="false" customHeight="false" outlineLevel="0" collapsed="false">
      <c r="A106" s="25" t="s">
        <v>448</v>
      </c>
      <c r="B106" s="25" t="s">
        <v>37</v>
      </c>
      <c r="C106" s="25" t="s">
        <v>440</v>
      </c>
      <c r="D106" s="25" t="s">
        <v>449</v>
      </c>
      <c r="E106" s="29" t="s">
        <v>8</v>
      </c>
      <c r="F106" s="25" t="s">
        <v>450</v>
      </c>
      <c r="G106" s="25" t="s">
        <v>430</v>
      </c>
      <c r="H106" s="25" t="s">
        <v>61</v>
      </c>
      <c r="I106" s="25"/>
      <c r="J106" s="25" t="s">
        <v>431</v>
      </c>
      <c r="K106" s="27"/>
      <c r="L106" s="27"/>
      <c r="M106" s="27"/>
    </row>
    <row r="107" customFormat="false" ht="22.35" hidden="false" customHeight="false" outlineLevel="0" collapsed="false">
      <c r="A107" s="25" t="s">
        <v>451</v>
      </c>
      <c r="B107" s="25" t="s">
        <v>37</v>
      </c>
      <c r="C107" s="25" t="s">
        <v>440</v>
      </c>
      <c r="D107" s="25" t="s">
        <v>452</v>
      </c>
      <c r="E107" s="29" t="s">
        <v>8</v>
      </c>
      <c r="F107" s="25" t="s">
        <v>442</v>
      </c>
      <c r="G107" s="25" t="s">
        <v>430</v>
      </c>
      <c r="H107" s="25" t="s">
        <v>61</v>
      </c>
      <c r="I107" s="25"/>
      <c r="J107" s="25" t="s">
        <v>431</v>
      </c>
      <c r="K107" s="27"/>
      <c r="L107" s="27"/>
      <c r="M107" s="27"/>
    </row>
    <row r="108" customFormat="false" ht="22.35" hidden="false" customHeight="false" outlineLevel="0" collapsed="false">
      <c r="A108" s="25" t="s">
        <v>453</v>
      </c>
      <c r="B108" s="25" t="s">
        <v>37</v>
      </c>
      <c r="C108" s="25" t="s">
        <v>454</v>
      </c>
      <c r="D108" s="25" t="s">
        <v>455</v>
      </c>
      <c r="E108" s="29" t="s">
        <v>8</v>
      </c>
      <c r="F108" s="25" t="s">
        <v>456</v>
      </c>
      <c r="G108" s="25" t="s">
        <v>430</v>
      </c>
      <c r="H108" s="25" t="s">
        <v>61</v>
      </c>
      <c r="I108" s="25"/>
      <c r="J108" s="25" t="s">
        <v>431</v>
      </c>
      <c r="K108" s="27"/>
      <c r="L108" s="27"/>
      <c r="M108" s="27"/>
    </row>
    <row r="109" customFormat="false" ht="22.35" hidden="false" customHeight="false" outlineLevel="0" collapsed="false">
      <c r="A109" s="25" t="s">
        <v>457</v>
      </c>
      <c r="B109" s="25" t="s">
        <v>37</v>
      </c>
      <c r="C109" s="25" t="s">
        <v>454</v>
      </c>
      <c r="D109" s="25" t="s">
        <v>458</v>
      </c>
      <c r="E109" s="29" t="s">
        <v>8</v>
      </c>
      <c r="F109" s="25" t="s">
        <v>459</v>
      </c>
      <c r="G109" s="25" t="s">
        <v>430</v>
      </c>
      <c r="H109" s="25" t="s">
        <v>61</v>
      </c>
      <c r="I109" s="25"/>
      <c r="J109" s="25" t="s">
        <v>431</v>
      </c>
      <c r="K109" s="27"/>
      <c r="L109" s="27"/>
      <c r="M109" s="27"/>
    </row>
    <row r="110" customFormat="false" ht="22.35" hidden="false" customHeight="false" outlineLevel="0" collapsed="false">
      <c r="A110" s="25" t="s">
        <v>460</v>
      </c>
      <c r="B110" s="25" t="s">
        <v>37</v>
      </c>
      <c r="C110" s="25" t="s">
        <v>454</v>
      </c>
      <c r="D110" s="25" t="s">
        <v>461</v>
      </c>
      <c r="E110" s="29" t="s">
        <v>8</v>
      </c>
      <c r="F110" s="25" t="s">
        <v>462</v>
      </c>
      <c r="G110" s="25" t="s">
        <v>430</v>
      </c>
      <c r="H110" s="25" t="s">
        <v>61</v>
      </c>
      <c r="I110" s="25"/>
      <c r="J110" s="25" t="s">
        <v>431</v>
      </c>
      <c r="K110" s="27"/>
      <c r="L110" s="27"/>
      <c r="M110" s="27"/>
    </row>
    <row r="111" customFormat="false" ht="22.35" hidden="false" customHeight="false" outlineLevel="0" collapsed="false">
      <c r="A111" s="25" t="s">
        <v>463</v>
      </c>
      <c r="B111" s="25" t="s">
        <v>37</v>
      </c>
      <c r="C111" s="25" t="s">
        <v>454</v>
      </c>
      <c r="D111" s="25" t="s">
        <v>464</v>
      </c>
      <c r="E111" s="29" t="s">
        <v>8</v>
      </c>
      <c r="F111" s="25" t="s">
        <v>465</v>
      </c>
      <c r="G111" s="25" t="s">
        <v>430</v>
      </c>
      <c r="H111" s="25" t="s">
        <v>466</v>
      </c>
      <c r="I111" s="25" t="s">
        <v>467</v>
      </c>
      <c r="J111" s="25" t="s">
        <v>431</v>
      </c>
      <c r="K111" s="27"/>
      <c r="L111" s="27"/>
      <c r="M111" s="27"/>
    </row>
    <row r="112" customFormat="false" ht="22.35" hidden="false" customHeight="false" outlineLevel="0" collapsed="false">
      <c r="A112" s="25" t="s">
        <v>468</v>
      </c>
      <c r="B112" s="25" t="s">
        <v>37</v>
      </c>
      <c r="C112" s="25" t="s">
        <v>469</v>
      </c>
      <c r="D112" s="25" t="s">
        <v>470</v>
      </c>
      <c r="E112" s="29" t="s">
        <v>8</v>
      </c>
      <c r="F112" s="25" t="s">
        <v>471</v>
      </c>
      <c r="G112" s="25" t="s">
        <v>430</v>
      </c>
      <c r="H112" s="25" t="s">
        <v>61</v>
      </c>
      <c r="I112" s="25"/>
      <c r="J112" s="25" t="s">
        <v>431</v>
      </c>
      <c r="K112" s="27"/>
      <c r="L112" s="27"/>
      <c r="M112" s="27"/>
    </row>
    <row r="113" customFormat="false" ht="22.35" hidden="false" customHeight="false" outlineLevel="0" collapsed="false">
      <c r="A113" s="25" t="s">
        <v>472</v>
      </c>
      <c r="B113" s="25" t="s">
        <v>37</v>
      </c>
      <c r="C113" s="25" t="s">
        <v>469</v>
      </c>
      <c r="D113" s="25" t="s">
        <v>473</v>
      </c>
      <c r="E113" s="29" t="s">
        <v>8</v>
      </c>
      <c r="F113" s="25" t="s">
        <v>474</v>
      </c>
      <c r="G113" s="25" t="s">
        <v>430</v>
      </c>
      <c r="H113" s="25" t="s">
        <v>475</v>
      </c>
      <c r="I113" s="25" t="s">
        <v>421</v>
      </c>
      <c r="J113" s="25" t="s">
        <v>431</v>
      </c>
      <c r="K113" s="27"/>
      <c r="L113" s="27"/>
      <c r="M113" s="27"/>
    </row>
    <row r="114" customFormat="false" ht="22.35" hidden="false" customHeight="false" outlineLevel="0" collapsed="false">
      <c r="A114" s="25" t="s">
        <v>476</v>
      </c>
      <c r="B114" s="25" t="s">
        <v>37</v>
      </c>
      <c r="C114" s="25" t="s">
        <v>469</v>
      </c>
      <c r="D114" s="25" t="s">
        <v>477</v>
      </c>
      <c r="E114" s="29" t="s">
        <v>8</v>
      </c>
      <c r="F114" s="25" t="s">
        <v>478</v>
      </c>
      <c r="G114" s="25" t="s">
        <v>430</v>
      </c>
      <c r="H114" s="25" t="s">
        <v>61</v>
      </c>
      <c r="I114" s="25"/>
      <c r="J114" s="25" t="s">
        <v>431</v>
      </c>
      <c r="K114" s="27"/>
      <c r="L114" s="27"/>
      <c r="M114" s="27"/>
    </row>
    <row r="115" customFormat="false" ht="22.35" hidden="false" customHeight="false" outlineLevel="0" collapsed="false">
      <c r="A115" s="25" t="s">
        <v>479</v>
      </c>
      <c r="B115" s="25" t="s">
        <v>37</v>
      </c>
      <c r="C115" s="25" t="s">
        <v>469</v>
      </c>
      <c r="D115" s="25" t="s">
        <v>480</v>
      </c>
      <c r="E115" s="29" t="s">
        <v>8</v>
      </c>
      <c r="F115" s="25" t="s">
        <v>481</v>
      </c>
      <c r="G115" s="25" t="s">
        <v>430</v>
      </c>
      <c r="H115" s="25" t="s">
        <v>475</v>
      </c>
      <c r="I115" s="25" t="s">
        <v>421</v>
      </c>
      <c r="J115" s="25" t="s">
        <v>431</v>
      </c>
      <c r="K115" s="27"/>
      <c r="L115" s="27"/>
      <c r="M115" s="27"/>
    </row>
    <row r="116" customFormat="false" ht="22.35" hidden="false" customHeight="false" outlineLevel="0" collapsed="false">
      <c r="A116" s="25" t="s">
        <v>482</v>
      </c>
      <c r="B116" s="25" t="s">
        <v>37</v>
      </c>
      <c r="C116" s="25" t="s">
        <v>483</v>
      </c>
      <c r="D116" s="25" t="s">
        <v>484</v>
      </c>
      <c r="E116" s="29" t="s">
        <v>8</v>
      </c>
      <c r="F116" s="25" t="s">
        <v>485</v>
      </c>
      <c r="G116" s="25" t="s">
        <v>430</v>
      </c>
      <c r="H116" s="25" t="s">
        <v>61</v>
      </c>
      <c r="I116" s="25"/>
      <c r="J116" s="25" t="s">
        <v>431</v>
      </c>
      <c r="K116" s="27"/>
      <c r="L116" s="27"/>
      <c r="M116" s="27"/>
    </row>
    <row r="117" customFormat="false" ht="22.35" hidden="false" customHeight="false" outlineLevel="0" collapsed="false">
      <c r="A117" s="25" t="s">
        <v>486</v>
      </c>
      <c r="B117" s="25" t="s">
        <v>37</v>
      </c>
      <c r="C117" s="25" t="s">
        <v>483</v>
      </c>
      <c r="D117" s="25" t="s">
        <v>487</v>
      </c>
      <c r="E117" s="29" t="s">
        <v>8</v>
      </c>
      <c r="F117" s="25" t="s">
        <v>485</v>
      </c>
      <c r="G117" s="25" t="s">
        <v>430</v>
      </c>
      <c r="H117" s="25" t="s">
        <v>61</v>
      </c>
      <c r="I117" s="25"/>
      <c r="J117" s="25" t="s">
        <v>431</v>
      </c>
      <c r="K117" s="27"/>
      <c r="L117" s="27"/>
      <c r="M117" s="27"/>
    </row>
    <row r="118" customFormat="false" ht="22.35" hidden="false" customHeight="false" outlineLevel="0" collapsed="false">
      <c r="A118" s="25" t="s">
        <v>488</v>
      </c>
      <c r="B118" s="25" t="s">
        <v>37</v>
      </c>
      <c r="C118" s="25" t="s">
        <v>483</v>
      </c>
      <c r="D118" s="25" t="s">
        <v>489</v>
      </c>
      <c r="E118" s="29" t="s">
        <v>8</v>
      </c>
      <c r="F118" s="25" t="s">
        <v>485</v>
      </c>
      <c r="G118" s="25" t="s">
        <v>430</v>
      </c>
      <c r="H118" s="25" t="s">
        <v>61</v>
      </c>
      <c r="I118" s="25"/>
      <c r="J118" s="25" t="s">
        <v>431</v>
      </c>
      <c r="K118" s="27"/>
      <c r="L118" s="27"/>
      <c r="M118" s="27"/>
    </row>
    <row r="119" customFormat="false" ht="32.8" hidden="false" customHeight="false" outlineLevel="0" collapsed="false">
      <c r="A119" s="25" t="s">
        <v>490</v>
      </c>
      <c r="B119" s="25" t="s">
        <v>37</v>
      </c>
      <c r="C119" s="25" t="s">
        <v>483</v>
      </c>
      <c r="D119" s="25" t="s">
        <v>491</v>
      </c>
      <c r="E119" s="29" t="s">
        <v>8</v>
      </c>
      <c r="F119" s="25" t="s">
        <v>485</v>
      </c>
      <c r="G119" s="25" t="s">
        <v>430</v>
      </c>
      <c r="H119" s="25" t="s">
        <v>492</v>
      </c>
      <c r="I119" s="25" t="s">
        <v>467</v>
      </c>
      <c r="J119" s="25" t="s">
        <v>431</v>
      </c>
      <c r="K119" s="27"/>
      <c r="L119" s="27"/>
      <c r="M119" s="27"/>
    </row>
    <row r="120" customFormat="false" ht="22.35" hidden="false" customHeight="false" outlineLevel="0" collapsed="false">
      <c r="A120" s="25" t="s">
        <v>493</v>
      </c>
      <c r="B120" s="25" t="s">
        <v>38</v>
      </c>
      <c r="C120" s="25" t="s">
        <v>494</v>
      </c>
      <c r="D120" s="25" t="s">
        <v>495</v>
      </c>
      <c r="E120" s="31" t="s">
        <v>16</v>
      </c>
      <c r="F120" s="25" t="s">
        <v>496</v>
      </c>
      <c r="G120" s="25" t="s">
        <v>497</v>
      </c>
      <c r="H120" s="25" t="s">
        <v>498</v>
      </c>
      <c r="I120" s="25" t="s">
        <v>60</v>
      </c>
      <c r="J120" s="25" t="s">
        <v>123</v>
      </c>
      <c r="K120" s="27"/>
      <c r="L120" s="27"/>
      <c r="M120" s="27"/>
    </row>
    <row r="121" customFormat="false" ht="22.35" hidden="false" customHeight="false" outlineLevel="0" collapsed="false">
      <c r="A121" s="25" t="s">
        <v>499</v>
      </c>
      <c r="B121" s="25" t="s">
        <v>38</v>
      </c>
      <c r="C121" s="25" t="s">
        <v>494</v>
      </c>
      <c r="D121" s="25" t="s">
        <v>500</v>
      </c>
      <c r="E121" s="31" t="s">
        <v>16</v>
      </c>
      <c r="F121" s="25" t="s">
        <v>61</v>
      </c>
      <c r="G121" s="25" t="s">
        <v>501</v>
      </c>
      <c r="H121" s="25" t="s">
        <v>153</v>
      </c>
      <c r="I121" s="25" t="s">
        <v>60</v>
      </c>
      <c r="J121" s="25" t="s">
        <v>123</v>
      </c>
      <c r="K121" s="27"/>
      <c r="L121" s="27"/>
      <c r="M121" s="27"/>
    </row>
    <row r="122" customFormat="false" ht="22.35" hidden="false" customHeight="false" outlineLevel="0" collapsed="false">
      <c r="A122" s="25" t="s">
        <v>502</v>
      </c>
      <c r="B122" s="25" t="s">
        <v>38</v>
      </c>
      <c r="C122" s="25" t="s">
        <v>494</v>
      </c>
      <c r="D122" s="25" t="s">
        <v>503</v>
      </c>
      <c r="E122" s="32" t="s">
        <v>10</v>
      </c>
      <c r="F122" s="25" t="s">
        <v>504</v>
      </c>
      <c r="G122" s="25"/>
      <c r="H122" s="25" t="s">
        <v>61</v>
      </c>
      <c r="I122" s="25"/>
      <c r="J122" s="25" t="s">
        <v>123</v>
      </c>
      <c r="K122" s="27"/>
      <c r="L122" s="27"/>
      <c r="M122" s="27"/>
    </row>
    <row r="123" customFormat="false" ht="22.35" hidden="false" customHeight="false" outlineLevel="0" collapsed="false">
      <c r="A123" s="25" t="s">
        <v>505</v>
      </c>
      <c r="B123" s="25" t="s">
        <v>38</v>
      </c>
      <c r="C123" s="25" t="s">
        <v>494</v>
      </c>
      <c r="D123" s="25" t="s">
        <v>506</v>
      </c>
      <c r="E123" s="29" t="s">
        <v>8</v>
      </c>
      <c r="F123" s="25" t="s">
        <v>507</v>
      </c>
      <c r="G123" s="25"/>
      <c r="H123" s="25" t="s">
        <v>61</v>
      </c>
      <c r="I123" s="25"/>
      <c r="J123" s="25" t="s">
        <v>123</v>
      </c>
      <c r="K123" s="27"/>
      <c r="L123" s="27"/>
      <c r="M123" s="27"/>
    </row>
    <row r="124" customFormat="false" ht="15" hidden="false" customHeight="false" outlineLevel="0" collapsed="false">
      <c r="A124" s="25" t="s">
        <v>508</v>
      </c>
      <c r="B124" s="25" t="s">
        <v>38</v>
      </c>
      <c r="C124" s="25" t="s">
        <v>494</v>
      </c>
      <c r="D124" s="25" t="s">
        <v>509</v>
      </c>
      <c r="E124" s="32" t="s">
        <v>10</v>
      </c>
      <c r="F124" s="25" t="s">
        <v>510</v>
      </c>
      <c r="G124" s="25" t="s">
        <v>511</v>
      </c>
      <c r="H124" s="25" t="s">
        <v>61</v>
      </c>
      <c r="I124" s="25"/>
      <c r="J124" s="25" t="s">
        <v>123</v>
      </c>
      <c r="K124" s="27"/>
      <c r="L124" s="27"/>
      <c r="M124" s="27"/>
    </row>
    <row r="125" customFormat="false" ht="15" hidden="false" customHeight="false" outlineLevel="0" collapsed="false">
      <c r="A125" s="25" t="s">
        <v>512</v>
      </c>
      <c r="B125" s="25" t="s">
        <v>38</v>
      </c>
      <c r="C125" s="25" t="s">
        <v>494</v>
      </c>
      <c r="D125" s="25" t="s">
        <v>513</v>
      </c>
      <c r="E125" s="29" t="s">
        <v>8</v>
      </c>
      <c r="F125" s="25" t="s">
        <v>514</v>
      </c>
      <c r="G125" s="25"/>
      <c r="H125" s="25" t="s">
        <v>61</v>
      </c>
      <c r="I125" s="25"/>
      <c r="J125" s="25" t="s">
        <v>123</v>
      </c>
      <c r="K125" s="27"/>
      <c r="L125" s="27"/>
      <c r="M125" s="27"/>
    </row>
    <row r="126" customFormat="false" ht="22.35" hidden="false" customHeight="false" outlineLevel="0" collapsed="false">
      <c r="A126" s="25" t="s">
        <v>515</v>
      </c>
      <c r="B126" s="25" t="s">
        <v>38</v>
      </c>
      <c r="C126" s="25" t="s">
        <v>494</v>
      </c>
      <c r="D126" s="25" t="s">
        <v>516</v>
      </c>
      <c r="E126" s="31" t="s">
        <v>16</v>
      </c>
      <c r="F126" s="25" t="s">
        <v>517</v>
      </c>
      <c r="G126" s="25"/>
      <c r="H126" s="25" t="s">
        <v>153</v>
      </c>
      <c r="I126" s="25" t="s">
        <v>60</v>
      </c>
      <c r="J126" s="25" t="s">
        <v>123</v>
      </c>
      <c r="K126" s="27"/>
      <c r="L126" s="27"/>
      <c r="M126" s="27"/>
    </row>
    <row r="127" customFormat="false" ht="22.35" hidden="false" customHeight="false" outlineLevel="0" collapsed="false">
      <c r="A127" s="25" t="s">
        <v>518</v>
      </c>
      <c r="B127" s="25" t="s">
        <v>38</v>
      </c>
      <c r="C127" s="25" t="s">
        <v>519</v>
      </c>
      <c r="D127" s="25" t="s">
        <v>520</v>
      </c>
      <c r="E127" s="28" t="s">
        <v>12</v>
      </c>
      <c r="F127" s="25" t="s">
        <v>521</v>
      </c>
      <c r="G127" s="25" t="s">
        <v>522</v>
      </c>
      <c r="H127" s="25" t="s">
        <v>153</v>
      </c>
      <c r="I127" s="25" t="s">
        <v>60</v>
      </c>
      <c r="J127" s="25" t="s">
        <v>123</v>
      </c>
      <c r="K127" s="27"/>
      <c r="L127" s="27"/>
      <c r="M127" s="27"/>
    </row>
    <row r="128" customFormat="false" ht="22.35" hidden="false" customHeight="false" outlineLevel="0" collapsed="false">
      <c r="A128" s="25" t="s">
        <v>523</v>
      </c>
      <c r="B128" s="25" t="s">
        <v>38</v>
      </c>
      <c r="C128" s="25" t="s">
        <v>519</v>
      </c>
      <c r="D128" s="25" t="s">
        <v>524</v>
      </c>
      <c r="E128" s="32" t="s">
        <v>10</v>
      </c>
      <c r="F128" s="25" t="s">
        <v>525</v>
      </c>
      <c r="G128" s="25"/>
      <c r="H128" s="25" t="s">
        <v>61</v>
      </c>
      <c r="I128" s="25"/>
      <c r="J128" s="25" t="s">
        <v>170</v>
      </c>
      <c r="K128" s="27"/>
      <c r="L128" s="27"/>
      <c r="M128" s="27"/>
    </row>
    <row r="129" customFormat="false" ht="15" hidden="false" customHeight="false" outlineLevel="0" collapsed="false">
      <c r="A129" s="25" t="s">
        <v>526</v>
      </c>
      <c r="B129" s="25" t="s">
        <v>38</v>
      </c>
      <c r="C129" s="25" t="s">
        <v>519</v>
      </c>
      <c r="D129" s="25" t="s">
        <v>527</v>
      </c>
      <c r="E129" s="29" t="s">
        <v>8</v>
      </c>
      <c r="F129" s="25" t="s">
        <v>528</v>
      </c>
      <c r="G129" s="25"/>
      <c r="H129" s="25" t="s">
        <v>61</v>
      </c>
      <c r="I129" s="25"/>
      <c r="J129" s="25" t="s">
        <v>123</v>
      </c>
      <c r="K129" s="27"/>
      <c r="L129" s="27"/>
      <c r="M129" s="27"/>
    </row>
    <row r="130" customFormat="false" ht="22.35" hidden="false" customHeight="false" outlineLevel="0" collapsed="false">
      <c r="A130" s="25" t="s">
        <v>529</v>
      </c>
      <c r="B130" s="25" t="s">
        <v>38</v>
      </c>
      <c r="C130" s="25" t="s">
        <v>530</v>
      </c>
      <c r="D130" s="25" t="s">
        <v>531</v>
      </c>
      <c r="E130" s="32" t="s">
        <v>10</v>
      </c>
      <c r="F130" s="25" t="s">
        <v>532</v>
      </c>
      <c r="G130" s="25" t="s">
        <v>533</v>
      </c>
      <c r="H130" s="25" t="s">
        <v>61</v>
      </c>
      <c r="I130" s="25"/>
      <c r="J130" s="25" t="s">
        <v>170</v>
      </c>
      <c r="K130" s="27"/>
      <c r="L130" s="27"/>
      <c r="M130" s="27"/>
    </row>
    <row r="131" customFormat="false" ht="22.35" hidden="false" customHeight="false" outlineLevel="0" collapsed="false">
      <c r="A131" s="25" t="s">
        <v>534</v>
      </c>
      <c r="B131" s="25" t="s">
        <v>38</v>
      </c>
      <c r="C131" s="25" t="s">
        <v>530</v>
      </c>
      <c r="D131" s="25" t="s">
        <v>535</v>
      </c>
      <c r="E131" s="29" t="s">
        <v>8</v>
      </c>
      <c r="F131" s="25" t="s">
        <v>536</v>
      </c>
      <c r="G131" s="25"/>
      <c r="H131" s="25" t="s">
        <v>61</v>
      </c>
      <c r="I131" s="25"/>
      <c r="J131" s="25" t="s">
        <v>170</v>
      </c>
      <c r="K131" s="27"/>
      <c r="L131" s="27"/>
      <c r="M131" s="27"/>
    </row>
    <row r="132" customFormat="false" ht="22.35" hidden="false" customHeight="false" outlineLevel="0" collapsed="false">
      <c r="A132" s="25" t="s">
        <v>537</v>
      </c>
      <c r="B132" s="25" t="s">
        <v>38</v>
      </c>
      <c r="C132" s="25" t="s">
        <v>530</v>
      </c>
      <c r="D132" s="25" t="s">
        <v>538</v>
      </c>
      <c r="E132" s="31" t="s">
        <v>16</v>
      </c>
      <c r="F132" s="25" t="s">
        <v>61</v>
      </c>
      <c r="G132" s="25" t="s">
        <v>539</v>
      </c>
      <c r="H132" s="25" t="s">
        <v>153</v>
      </c>
      <c r="I132" s="25" t="s">
        <v>60</v>
      </c>
      <c r="J132" s="25" t="s">
        <v>170</v>
      </c>
      <c r="K132" s="27"/>
      <c r="L132" s="27"/>
      <c r="M132" s="27"/>
    </row>
    <row r="133" customFormat="false" ht="22.35" hidden="false" customHeight="false" outlineLevel="0" collapsed="false">
      <c r="A133" s="25" t="s">
        <v>540</v>
      </c>
      <c r="B133" s="25" t="s">
        <v>38</v>
      </c>
      <c r="C133" s="25" t="s">
        <v>530</v>
      </c>
      <c r="D133" s="25" t="s">
        <v>541</v>
      </c>
      <c r="E133" s="29" t="s">
        <v>8</v>
      </c>
      <c r="F133" s="25" t="s">
        <v>542</v>
      </c>
      <c r="G133" s="25"/>
      <c r="H133" s="25" t="s">
        <v>61</v>
      </c>
      <c r="I133" s="25"/>
      <c r="J133" s="25" t="s">
        <v>170</v>
      </c>
      <c r="K133" s="27"/>
      <c r="L133" s="27"/>
      <c r="M133" s="27"/>
    </row>
    <row r="134" customFormat="false" ht="22.35" hidden="false" customHeight="false" outlineLevel="0" collapsed="false">
      <c r="A134" s="25" t="s">
        <v>543</v>
      </c>
      <c r="B134" s="25" t="s">
        <v>38</v>
      </c>
      <c r="C134" s="25" t="s">
        <v>530</v>
      </c>
      <c r="D134" s="25" t="s">
        <v>544</v>
      </c>
      <c r="E134" s="28" t="s">
        <v>12</v>
      </c>
      <c r="F134" s="25" t="s">
        <v>545</v>
      </c>
      <c r="G134" s="25" t="s">
        <v>546</v>
      </c>
      <c r="H134" s="25" t="s">
        <v>153</v>
      </c>
      <c r="I134" s="25" t="s">
        <v>60</v>
      </c>
      <c r="J134" s="25" t="s">
        <v>170</v>
      </c>
      <c r="K134" s="27"/>
      <c r="L134" s="27"/>
      <c r="M134" s="27"/>
    </row>
    <row r="135" customFormat="false" ht="22.35" hidden="false" customHeight="false" outlineLevel="0" collapsed="false">
      <c r="A135" s="25" t="s">
        <v>547</v>
      </c>
      <c r="B135" s="25" t="s">
        <v>38</v>
      </c>
      <c r="C135" s="25" t="s">
        <v>548</v>
      </c>
      <c r="D135" s="25" t="s">
        <v>549</v>
      </c>
      <c r="E135" s="29" t="s">
        <v>8</v>
      </c>
      <c r="F135" s="25" t="s">
        <v>550</v>
      </c>
      <c r="G135" s="25" t="s">
        <v>551</v>
      </c>
      <c r="H135" s="25" t="s">
        <v>552</v>
      </c>
      <c r="I135" s="25" t="s">
        <v>60</v>
      </c>
      <c r="J135" s="25" t="s">
        <v>170</v>
      </c>
      <c r="K135" s="27"/>
      <c r="L135" s="27"/>
      <c r="M135" s="27"/>
    </row>
    <row r="136" customFormat="false" ht="22.35" hidden="false" customHeight="false" outlineLevel="0" collapsed="false">
      <c r="A136" s="25" t="s">
        <v>553</v>
      </c>
      <c r="B136" s="25" t="s">
        <v>38</v>
      </c>
      <c r="C136" s="25" t="s">
        <v>548</v>
      </c>
      <c r="D136" s="25" t="s">
        <v>554</v>
      </c>
      <c r="E136" s="28" t="s">
        <v>12</v>
      </c>
      <c r="F136" s="25" t="s">
        <v>555</v>
      </c>
      <c r="G136" s="25"/>
      <c r="H136" s="25" t="s">
        <v>153</v>
      </c>
      <c r="I136" s="25" t="s">
        <v>60</v>
      </c>
      <c r="J136" s="25" t="s">
        <v>170</v>
      </c>
      <c r="K136" s="27"/>
      <c r="L136" s="27"/>
      <c r="M136" s="27"/>
    </row>
    <row r="137" customFormat="false" ht="15" hidden="false" customHeight="false" outlineLevel="0" collapsed="false">
      <c r="A137" s="25" t="s">
        <v>556</v>
      </c>
      <c r="B137" s="25" t="s">
        <v>38</v>
      </c>
      <c r="C137" s="25" t="s">
        <v>548</v>
      </c>
      <c r="D137" s="25" t="s">
        <v>557</v>
      </c>
      <c r="E137" s="29" t="s">
        <v>8</v>
      </c>
      <c r="F137" s="25" t="s">
        <v>558</v>
      </c>
      <c r="G137" s="25"/>
      <c r="H137" s="25" t="s">
        <v>61</v>
      </c>
      <c r="I137" s="25" t="s">
        <v>60</v>
      </c>
      <c r="J137" s="25" t="s">
        <v>170</v>
      </c>
      <c r="K137" s="27"/>
      <c r="L137" s="27"/>
      <c r="M137" s="27"/>
    </row>
    <row r="138" customFormat="false" ht="15" hidden="false" customHeight="false" outlineLevel="0" collapsed="false">
      <c r="A138" s="25" t="s">
        <v>559</v>
      </c>
      <c r="B138" s="25" t="s">
        <v>38</v>
      </c>
      <c r="C138" s="25" t="s">
        <v>548</v>
      </c>
      <c r="D138" s="25" t="s">
        <v>560</v>
      </c>
      <c r="E138" s="29" t="s">
        <v>8</v>
      </c>
      <c r="F138" s="25" t="s">
        <v>561</v>
      </c>
      <c r="G138" s="25"/>
      <c r="H138" s="25" t="s">
        <v>61</v>
      </c>
      <c r="I138" s="25" t="s">
        <v>60</v>
      </c>
      <c r="J138" s="25" t="s">
        <v>170</v>
      </c>
      <c r="K138" s="27"/>
      <c r="L138" s="27"/>
      <c r="M138" s="27"/>
    </row>
    <row r="139" customFormat="false" ht="15" hidden="false" customHeight="false" outlineLevel="0" collapsed="false">
      <c r="A139" s="25" t="s">
        <v>562</v>
      </c>
      <c r="B139" s="25" t="s">
        <v>38</v>
      </c>
      <c r="C139" s="25" t="s">
        <v>548</v>
      </c>
      <c r="D139" s="25" t="s">
        <v>563</v>
      </c>
      <c r="E139" s="28" t="s">
        <v>12</v>
      </c>
      <c r="F139" s="25" t="s">
        <v>564</v>
      </c>
      <c r="G139" s="25"/>
      <c r="H139" s="25" t="s">
        <v>153</v>
      </c>
      <c r="I139" s="25" t="s">
        <v>60</v>
      </c>
      <c r="J139" s="25" t="s">
        <v>170</v>
      </c>
      <c r="K139" s="27"/>
      <c r="L139" s="27"/>
      <c r="M139" s="27"/>
    </row>
    <row r="140" customFormat="false" ht="22.35" hidden="false" customHeight="false" outlineLevel="0" collapsed="false">
      <c r="A140" s="25" t="s">
        <v>565</v>
      </c>
      <c r="B140" s="25" t="s">
        <v>38</v>
      </c>
      <c r="C140" s="25" t="s">
        <v>566</v>
      </c>
      <c r="D140" s="25" t="s">
        <v>567</v>
      </c>
      <c r="E140" s="29" t="s">
        <v>8</v>
      </c>
      <c r="F140" s="25" t="s">
        <v>568</v>
      </c>
      <c r="G140" s="25" t="s">
        <v>569</v>
      </c>
      <c r="H140" s="25" t="s">
        <v>570</v>
      </c>
      <c r="I140" s="25" t="s">
        <v>60</v>
      </c>
      <c r="J140" s="25" t="s">
        <v>170</v>
      </c>
      <c r="K140" s="27"/>
      <c r="L140" s="27"/>
      <c r="M140" s="27"/>
    </row>
    <row r="141" customFormat="false" ht="22.35" hidden="false" customHeight="false" outlineLevel="0" collapsed="false">
      <c r="A141" s="25" t="s">
        <v>571</v>
      </c>
      <c r="B141" s="25" t="s">
        <v>38</v>
      </c>
      <c r="C141" s="25" t="s">
        <v>566</v>
      </c>
      <c r="D141" s="25" t="s">
        <v>572</v>
      </c>
      <c r="E141" s="29" t="s">
        <v>8</v>
      </c>
      <c r="F141" s="25" t="s">
        <v>573</v>
      </c>
      <c r="G141" s="25" t="s">
        <v>574</v>
      </c>
      <c r="H141" s="25" t="s">
        <v>575</v>
      </c>
      <c r="I141" s="25" t="s">
        <v>164</v>
      </c>
      <c r="J141" s="25" t="s">
        <v>170</v>
      </c>
      <c r="K141" s="27"/>
      <c r="L141" s="27"/>
      <c r="M141" s="27"/>
    </row>
    <row r="142" customFormat="false" ht="22.35" hidden="false" customHeight="false" outlineLevel="0" collapsed="false">
      <c r="A142" s="25" t="s">
        <v>576</v>
      </c>
      <c r="B142" s="25" t="s">
        <v>38</v>
      </c>
      <c r="C142" s="25" t="s">
        <v>566</v>
      </c>
      <c r="D142" s="25" t="s">
        <v>577</v>
      </c>
      <c r="E142" s="29" t="s">
        <v>8</v>
      </c>
      <c r="F142" s="25" t="s">
        <v>578</v>
      </c>
      <c r="G142" s="25"/>
      <c r="H142" s="25" t="s">
        <v>61</v>
      </c>
      <c r="I142" s="25" t="s">
        <v>60</v>
      </c>
      <c r="J142" s="25" t="s">
        <v>170</v>
      </c>
      <c r="K142" s="27"/>
      <c r="L142" s="27"/>
      <c r="M142" s="27"/>
    </row>
    <row r="143" customFormat="false" ht="22.35" hidden="false" customHeight="false" outlineLevel="0" collapsed="false">
      <c r="A143" s="25" t="s">
        <v>579</v>
      </c>
      <c r="B143" s="25" t="s">
        <v>38</v>
      </c>
      <c r="C143" s="25" t="s">
        <v>566</v>
      </c>
      <c r="D143" s="25" t="s">
        <v>580</v>
      </c>
      <c r="E143" s="29" t="s">
        <v>8</v>
      </c>
      <c r="F143" s="25" t="s">
        <v>581</v>
      </c>
      <c r="G143" s="25"/>
      <c r="H143" s="25" t="s">
        <v>61</v>
      </c>
      <c r="I143" s="25" t="s">
        <v>60</v>
      </c>
      <c r="J143" s="25" t="s">
        <v>170</v>
      </c>
      <c r="K143" s="27"/>
      <c r="L143" s="27"/>
      <c r="M143" s="27"/>
    </row>
    <row r="144" customFormat="false" ht="22.35" hidden="false" customHeight="false" outlineLevel="0" collapsed="false">
      <c r="A144" s="25" t="s">
        <v>582</v>
      </c>
      <c r="B144" s="25" t="s">
        <v>38</v>
      </c>
      <c r="C144" s="25" t="s">
        <v>583</v>
      </c>
      <c r="D144" s="25" t="s">
        <v>584</v>
      </c>
      <c r="E144" s="31" t="s">
        <v>16</v>
      </c>
      <c r="F144" s="25" t="s">
        <v>61</v>
      </c>
      <c r="G144" s="25" t="s">
        <v>585</v>
      </c>
      <c r="H144" s="25" t="s">
        <v>153</v>
      </c>
      <c r="I144" s="25" t="s">
        <v>60</v>
      </c>
      <c r="J144" s="25" t="s">
        <v>170</v>
      </c>
      <c r="K144" s="27"/>
      <c r="L144" s="27"/>
      <c r="M144" s="27"/>
    </row>
    <row r="145" customFormat="false" ht="22.35" hidden="false" customHeight="false" outlineLevel="0" collapsed="false">
      <c r="A145" s="25" t="s">
        <v>586</v>
      </c>
      <c r="B145" s="25" t="s">
        <v>38</v>
      </c>
      <c r="C145" s="25" t="s">
        <v>583</v>
      </c>
      <c r="D145" s="25" t="s">
        <v>587</v>
      </c>
      <c r="E145" s="32" t="s">
        <v>10</v>
      </c>
      <c r="F145" s="25" t="s">
        <v>588</v>
      </c>
      <c r="G145" s="25"/>
      <c r="H145" s="25" t="s">
        <v>61</v>
      </c>
      <c r="I145" s="25" t="s">
        <v>60</v>
      </c>
      <c r="J145" s="25" t="s">
        <v>170</v>
      </c>
      <c r="K145" s="27"/>
      <c r="L145" s="27"/>
      <c r="M145" s="27"/>
    </row>
    <row r="146" customFormat="false" ht="22.35" hidden="false" customHeight="false" outlineLevel="0" collapsed="false">
      <c r="A146" s="25" t="s">
        <v>589</v>
      </c>
      <c r="B146" s="25" t="s">
        <v>38</v>
      </c>
      <c r="C146" s="25" t="s">
        <v>583</v>
      </c>
      <c r="D146" s="25" t="s">
        <v>590</v>
      </c>
      <c r="E146" s="29" t="s">
        <v>8</v>
      </c>
      <c r="F146" s="25" t="s">
        <v>591</v>
      </c>
      <c r="G146" s="25"/>
      <c r="H146" s="25" t="s">
        <v>61</v>
      </c>
      <c r="I146" s="25" t="s">
        <v>60</v>
      </c>
      <c r="J146" s="25" t="s">
        <v>170</v>
      </c>
      <c r="K146" s="27"/>
      <c r="L146" s="27"/>
      <c r="M146" s="27"/>
    </row>
    <row r="147" customFormat="false" ht="15" hidden="false" customHeight="false" outlineLevel="0" collapsed="false">
      <c r="A147" s="25" t="s">
        <v>592</v>
      </c>
      <c r="B147" s="25" t="s">
        <v>38</v>
      </c>
      <c r="C147" s="25" t="s">
        <v>583</v>
      </c>
      <c r="D147" s="25" t="s">
        <v>593</v>
      </c>
      <c r="E147" s="29" t="s">
        <v>8</v>
      </c>
      <c r="F147" s="25" t="s">
        <v>594</v>
      </c>
      <c r="G147" s="25"/>
      <c r="H147" s="25" t="s">
        <v>61</v>
      </c>
      <c r="I147" s="25" t="s">
        <v>60</v>
      </c>
      <c r="J147" s="25" t="s">
        <v>170</v>
      </c>
      <c r="K147" s="27"/>
      <c r="L147" s="27"/>
      <c r="M147" s="27"/>
    </row>
    <row r="148" customFormat="false" ht="15" hidden="false" customHeight="false" outlineLevel="0" collapsed="false">
      <c r="A148" s="25" t="s">
        <v>595</v>
      </c>
      <c r="B148" s="25" t="s">
        <v>38</v>
      </c>
      <c r="C148" s="25" t="s">
        <v>583</v>
      </c>
      <c r="D148" s="25" t="s">
        <v>596</v>
      </c>
      <c r="E148" s="29" t="s">
        <v>8</v>
      </c>
      <c r="F148" s="25" t="s">
        <v>597</v>
      </c>
      <c r="G148" s="25"/>
      <c r="H148" s="25" t="s">
        <v>61</v>
      </c>
      <c r="I148" s="25" t="s">
        <v>60</v>
      </c>
      <c r="J148" s="25" t="s">
        <v>170</v>
      </c>
      <c r="K148" s="27"/>
      <c r="L148" s="27"/>
      <c r="M148" s="27"/>
    </row>
    <row r="149" customFormat="false" ht="22.35" hidden="false" customHeight="false" outlineLevel="0" collapsed="false">
      <c r="A149" s="25" t="s">
        <v>598</v>
      </c>
      <c r="B149" s="25" t="s">
        <v>39</v>
      </c>
      <c r="C149" s="25" t="s">
        <v>599</v>
      </c>
      <c r="D149" s="25" t="s">
        <v>600</v>
      </c>
      <c r="E149" s="29" t="s">
        <v>8</v>
      </c>
      <c r="F149" s="25" t="s">
        <v>601</v>
      </c>
      <c r="G149" s="25"/>
      <c r="H149" s="25" t="s">
        <v>61</v>
      </c>
      <c r="I149" s="25"/>
      <c r="J149" s="25" t="s">
        <v>602</v>
      </c>
      <c r="K149" s="27"/>
      <c r="L149" s="27"/>
      <c r="M149" s="27"/>
    </row>
    <row r="150" customFormat="false" ht="22.35" hidden="false" customHeight="false" outlineLevel="0" collapsed="false">
      <c r="A150" s="25" t="s">
        <v>603</v>
      </c>
      <c r="B150" s="25" t="s">
        <v>39</v>
      </c>
      <c r="C150" s="25" t="s">
        <v>599</v>
      </c>
      <c r="D150" s="25" t="s">
        <v>604</v>
      </c>
      <c r="E150" s="29" t="s">
        <v>8</v>
      </c>
      <c r="F150" s="25" t="s">
        <v>605</v>
      </c>
      <c r="G150" s="25"/>
      <c r="H150" s="25" t="s">
        <v>61</v>
      </c>
      <c r="I150" s="25"/>
      <c r="J150" s="25" t="s">
        <v>109</v>
      </c>
      <c r="K150" s="27"/>
      <c r="L150" s="27"/>
      <c r="M150" s="27"/>
    </row>
    <row r="151" customFormat="false" ht="22.35" hidden="false" customHeight="false" outlineLevel="0" collapsed="false">
      <c r="A151" s="25" t="s">
        <v>606</v>
      </c>
      <c r="B151" s="25" t="s">
        <v>39</v>
      </c>
      <c r="C151" s="25" t="s">
        <v>607</v>
      </c>
      <c r="D151" s="25" t="s">
        <v>608</v>
      </c>
      <c r="E151" s="29" t="s">
        <v>8</v>
      </c>
      <c r="F151" s="25" t="s">
        <v>609</v>
      </c>
      <c r="G151" s="25"/>
      <c r="H151" s="25" t="s">
        <v>61</v>
      </c>
      <c r="I151" s="25"/>
      <c r="J151" s="25" t="s">
        <v>602</v>
      </c>
      <c r="K151" s="27"/>
      <c r="L151" s="27"/>
      <c r="M151" s="27"/>
    </row>
    <row r="152" customFormat="false" ht="22.35" hidden="false" customHeight="false" outlineLevel="0" collapsed="false">
      <c r="A152" s="25" t="s">
        <v>610</v>
      </c>
      <c r="B152" s="25" t="s">
        <v>39</v>
      </c>
      <c r="C152" s="25" t="s">
        <v>607</v>
      </c>
      <c r="D152" s="25" t="s">
        <v>611</v>
      </c>
      <c r="E152" s="30" t="s">
        <v>14</v>
      </c>
      <c r="F152" s="25" t="s">
        <v>612</v>
      </c>
      <c r="G152" s="25"/>
      <c r="H152" s="25" t="s">
        <v>613</v>
      </c>
      <c r="I152" s="25" t="s">
        <v>614</v>
      </c>
      <c r="J152" s="25" t="s">
        <v>615</v>
      </c>
      <c r="K152" s="27"/>
      <c r="L152" s="27"/>
      <c r="M152" s="27"/>
    </row>
    <row r="153" customFormat="false" ht="22.35" hidden="false" customHeight="false" outlineLevel="0" collapsed="false">
      <c r="A153" s="25" t="s">
        <v>616</v>
      </c>
      <c r="B153" s="25" t="s">
        <v>39</v>
      </c>
      <c r="C153" s="25" t="s">
        <v>617</v>
      </c>
      <c r="D153" s="25" t="s">
        <v>618</v>
      </c>
      <c r="E153" s="29" t="s">
        <v>8</v>
      </c>
      <c r="F153" s="25" t="s">
        <v>619</v>
      </c>
      <c r="G153" s="25"/>
      <c r="H153" s="25" t="s">
        <v>61</v>
      </c>
      <c r="I153" s="25"/>
      <c r="J153" s="25" t="s">
        <v>109</v>
      </c>
      <c r="K153" s="27"/>
      <c r="L153" s="27"/>
      <c r="M153" s="27"/>
    </row>
    <row r="154" customFormat="false" ht="32.8" hidden="false" customHeight="false" outlineLevel="0" collapsed="false">
      <c r="A154" s="25" t="s">
        <v>620</v>
      </c>
      <c r="B154" s="25" t="s">
        <v>39</v>
      </c>
      <c r="C154" s="25" t="s">
        <v>617</v>
      </c>
      <c r="D154" s="25" t="s">
        <v>621</v>
      </c>
      <c r="E154" s="28" t="s">
        <v>12</v>
      </c>
      <c r="F154" s="25" t="s">
        <v>622</v>
      </c>
      <c r="G154" s="25" t="s">
        <v>623</v>
      </c>
      <c r="H154" s="25" t="s">
        <v>624</v>
      </c>
      <c r="I154" s="25" t="s">
        <v>220</v>
      </c>
      <c r="J154" s="25" t="s">
        <v>215</v>
      </c>
      <c r="K154" s="27"/>
      <c r="L154" s="27"/>
      <c r="M154" s="27"/>
    </row>
    <row r="155" customFormat="false" ht="22.35" hidden="false" customHeight="false" outlineLevel="0" collapsed="false">
      <c r="A155" s="25" t="s">
        <v>625</v>
      </c>
      <c r="B155" s="25" t="s">
        <v>39</v>
      </c>
      <c r="C155" s="25" t="s">
        <v>617</v>
      </c>
      <c r="D155" s="25" t="s">
        <v>626</v>
      </c>
      <c r="E155" s="28" t="s">
        <v>12</v>
      </c>
      <c r="F155" s="25" t="s">
        <v>627</v>
      </c>
      <c r="G155" s="25" t="s">
        <v>628</v>
      </c>
      <c r="H155" s="25" t="s">
        <v>629</v>
      </c>
      <c r="I155" s="25" t="s">
        <v>220</v>
      </c>
      <c r="J155" s="25" t="s">
        <v>215</v>
      </c>
      <c r="K155" s="27"/>
      <c r="L155" s="27"/>
      <c r="M155" s="27"/>
    </row>
    <row r="156" customFormat="false" ht="22.35" hidden="false" customHeight="false" outlineLevel="0" collapsed="false">
      <c r="A156" s="25" t="s">
        <v>630</v>
      </c>
      <c r="B156" s="25" t="s">
        <v>39</v>
      </c>
      <c r="C156" s="25" t="s">
        <v>617</v>
      </c>
      <c r="D156" s="25" t="s">
        <v>631</v>
      </c>
      <c r="E156" s="30" t="s">
        <v>14</v>
      </c>
      <c r="F156" s="25" t="s">
        <v>61</v>
      </c>
      <c r="G156" s="25"/>
      <c r="H156" s="25" t="s">
        <v>632</v>
      </c>
      <c r="I156" s="25" t="s">
        <v>614</v>
      </c>
      <c r="J156" s="25" t="s">
        <v>215</v>
      </c>
      <c r="K156" s="27"/>
      <c r="L156" s="27"/>
      <c r="M156" s="27"/>
    </row>
    <row r="157" customFormat="false" ht="22.35" hidden="false" customHeight="false" outlineLevel="0" collapsed="false">
      <c r="A157" s="25" t="s">
        <v>633</v>
      </c>
      <c r="B157" s="25" t="s">
        <v>39</v>
      </c>
      <c r="C157" s="25" t="s">
        <v>617</v>
      </c>
      <c r="D157" s="25" t="s">
        <v>634</v>
      </c>
      <c r="E157" s="30" t="s">
        <v>14</v>
      </c>
      <c r="F157" s="25" t="s">
        <v>61</v>
      </c>
      <c r="G157" s="25"/>
      <c r="H157" s="25" t="s">
        <v>635</v>
      </c>
      <c r="I157" s="25" t="s">
        <v>614</v>
      </c>
      <c r="J157" s="25" t="s">
        <v>636</v>
      </c>
      <c r="K157" s="27"/>
      <c r="L157" s="27"/>
      <c r="M157" s="27"/>
    </row>
    <row r="158" customFormat="false" ht="22.35" hidden="false" customHeight="false" outlineLevel="0" collapsed="false">
      <c r="A158" s="25" t="s">
        <v>637</v>
      </c>
      <c r="B158" s="25" t="s">
        <v>39</v>
      </c>
      <c r="C158" s="25" t="s">
        <v>617</v>
      </c>
      <c r="D158" s="25" t="s">
        <v>638</v>
      </c>
      <c r="E158" s="30" t="s">
        <v>14</v>
      </c>
      <c r="F158" s="25" t="s">
        <v>61</v>
      </c>
      <c r="G158" s="25"/>
      <c r="H158" s="25" t="s">
        <v>639</v>
      </c>
      <c r="I158" s="25" t="s">
        <v>467</v>
      </c>
      <c r="J158" s="25" t="s">
        <v>636</v>
      </c>
      <c r="K158" s="27"/>
      <c r="L158" s="27"/>
      <c r="M158" s="27"/>
    </row>
    <row r="159" customFormat="false" ht="22.35" hidden="false" customHeight="false" outlineLevel="0" collapsed="false">
      <c r="A159" s="25" t="s">
        <v>640</v>
      </c>
      <c r="B159" s="25" t="s">
        <v>39</v>
      </c>
      <c r="C159" s="25" t="s">
        <v>617</v>
      </c>
      <c r="D159" s="25" t="s">
        <v>641</v>
      </c>
      <c r="E159" s="30" t="s">
        <v>14</v>
      </c>
      <c r="F159" s="25" t="s">
        <v>642</v>
      </c>
      <c r="G159" s="25"/>
      <c r="H159" s="25" t="s">
        <v>643</v>
      </c>
      <c r="I159" s="25" t="s">
        <v>644</v>
      </c>
      <c r="J159" s="25" t="s">
        <v>232</v>
      </c>
      <c r="K159" s="27"/>
      <c r="L159" s="27"/>
      <c r="M159" s="27"/>
    </row>
    <row r="160" customFormat="false" ht="22.35" hidden="false" customHeight="false" outlineLevel="0" collapsed="false">
      <c r="A160" s="25" t="s">
        <v>645</v>
      </c>
      <c r="B160" s="25" t="s">
        <v>39</v>
      </c>
      <c r="C160" s="25" t="s">
        <v>617</v>
      </c>
      <c r="D160" s="25" t="s">
        <v>646</v>
      </c>
      <c r="E160" s="30" t="s">
        <v>14</v>
      </c>
      <c r="F160" s="25" t="s">
        <v>647</v>
      </c>
      <c r="G160" s="25"/>
      <c r="H160" s="25" t="s">
        <v>648</v>
      </c>
      <c r="I160" s="25" t="s">
        <v>302</v>
      </c>
      <c r="J160" s="25" t="s">
        <v>232</v>
      </c>
      <c r="K160" s="27"/>
      <c r="L160" s="27"/>
      <c r="M160" s="27"/>
    </row>
    <row r="161" customFormat="false" ht="22.35" hidden="false" customHeight="false" outlineLevel="0" collapsed="false">
      <c r="A161" s="25" t="s">
        <v>649</v>
      </c>
      <c r="B161" s="25" t="s">
        <v>39</v>
      </c>
      <c r="C161" s="25" t="s">
        <v>617</v>
      </c>
      <c r="D161" s="25" t="s">
        <v>650</v>
      </c>
      <c r="E161" s="28" t="s">
        <v>12</v>
      </c>
      <c r="F161" s="25" t="s">
        <v>651</v>
      </c>
      <c r="G161" s="25" t="s">
        <v>652</v>
      </c>
      <c r="H161" s="25" t="s">
        <v>653</v>
      </c>
      <c r="I161" s="25" t="s">
        <v>614</v>
      </c>
      <c r="J161" s="25" t="s">
        <v>232</v>
      </c>
      <c r="K161" s="27"/>
      <c r="L161" s="27"/>
      <c r="M161" s="27"/>
    </row>
    <row r="162" customFormat="false" ht="22.35" hidden="false" customHeight="false" outlineLevel="0" collapsed="false">
      <c r="A162" s="25" t="s">
        <v>654</v>
      </c>
      <c r="B162" s="25" t="s">
        <v>39</v>
      </c>
      <c r="C162" s="25" t="s">
        <v>617</v>
      </c>
      <c r="D162" s="25" t="s">
        <v>655</v>
      </c>
      <c r="E162" s="30" t="s">
        <v>14</v>
      </c>
      <c r="F162" s="25" t="s">
        <v>656</v>
      </c>
      <c r="G162" s="25"/>
      <c r="H162" s="25" t="s">
        <v>657</v>
      </c>
      <c r="I162" s="25" t="s">
        <v>164</v>
      </c>
      <c r="J162" s="25" t="s">
        <v>232</v>
      </c>
      <c r="K162" s="27"/>
      <c r="L162" s="27"/>
      <c r="M162" s="27"/>
    </row>
    <row r="163" customFormat="false" ht="22.35" hidden="false" customHeight="false" outlineLevel="0" collapsed="false">
      <c r="A163" s="25" t="s">
        <v>658</v>
      </c>
      <c r="B163" s="25" t="s">
        <v>39</v>
      </c>
      <c r="C163" s="25" t="s">
        <v>617</v>
      </c>
      <c r="D163" s="25" t="s">
        <v>659</v>
      </c>
      <c r="E163" s="29" t="s">
        <v>8</v>
      </c>
      <c r="F163" s="25" t="s">
        <v>660</v>
      </c>
      <c r="G163" s="25"/>
      <c r="H163" s="25" t="s">
        <v>61</v>
      </c>
      <c r="I163" s="25"/>
      <c r="J163" s="25" t="s">
        <v>661</v>
      </c>
      <c r="K163" s="27"/>
      <c r="L163" s="27"/>
      <c r="M163" s="27"/>
    </row>
    <row r="164" customFormat="false" ht="22.35" hidden="false" customHeight="false" outlineLevel="0" collapsed="false">
      <c r="A164" s="25" t="s">
        <v>662</v>
      </c>
      <c r="B164" s="25" t="s">
        <v>39</v>
      </c>
      <c r="C164" s="25" t="s">
        <v>617</v>
      </c>
      <c r="D164" s="25" t="s">
        <v>663</v>
      </c>
      <c r="E164" s="30" t="s">
        <v>14</v>
      </c>
      <c r="F164" s="25" t="s">
        <v>61</v>
      </c>
      <c r="G164" s="25" t="s">
        <v>664</v>
      </c>
      <c r="H164" s="25" t="s">
        <v>665</v>
      </c>
      <c r="I164" s="25" t="s">
        <v>319</v>
      </c>
      <c r="J164" s="25" t="s">
        <v>232</v>
      </c>
      <c r="K164" s="27"/>
      <c r="L164" s="27"/>
      <c r="M164" s="27"/>
    </row>
    <row r="165" customFormat="false" ht="22.35" hidden="false" customHeight="false" outlineLevel="0" collapsed="false">
      <c r="A165" s="25" t="s">
        <v>666</v>
      </c>
      <c r="B165" s="25" t="s">
        <v>39</v>
      </c>
      <c r="C165" s="25" t="s">
        <v>617</v>
      </c>
      <c r="D165" s="25" t="s">
        <v>667</v>
      </c>
      <c r="E165" s="28" t="s">
        <v>12</v>
      </c>
      <c r="F165" s="25" t="s">
        <v>668</v>
      </c>
      <c r="G165" s="25" t="s">
        <v>669</v>
      </c>
      <c r="H165" s="25" t="s">
        <v>670</v>
      </c>
      <c r="I165" s="25" t="s">
        <v>614</v>
      </c>
      <c r="J165" s="25" t="s">
        <v>636</v>
      </c>
      <c r="K165" s="27"/>
      <c r="L165" s="27"/>
      <c r="M165" s="27"/>
    </row>
    <row r="166" customFormat="false" ht="22.35" hidden="false" customHeight="false" outlineLevel="0" collapsed="false">
      <c r="A166" s="25" t="s">
        <v>671</v>
      </c>
      <c r="B166" s="25" t="s">
        <v>39</v>
      </c>
      <c r="C166" s="25" t="s">
        <v>672</v>
      </c>
      <c r="D166" s="25" t="s">
        <v>673</v>
      </c>
      <c r="E166" s="30" t="s">
        <v>14</v>
      </c>
      <c r="F166" s="25" t="s">
        <v>674</v>
      </c>
      <c r="G166" s="25"/>
      <c r="H166" s="25" t="s">
        <v>675</v>
      </c>
      <c r="I166" s="25" t="s">
        <v>164</v>
      </c>
      <c r="J166" s="25" t="s">
        <v>123</v>
      </c>
      <c r="K166" s="27"/>
      <c r="L166" s="27"/>
      <c r="M166" s="27"/>
    </row>
    <row r="167" customFormat="false" ht="22.35" hidden="false" customHeight="false" outlineLevel="0" collapsed="false">
      <c r="A167" s="25" t="s">
        <v>676</v>
      </c>
      <c r="B167" s="25" t="s">
        <v>39</v>
      </c>
      <c r="C167" s="25" t="s">
        <v>672</v>
      </c>
      <c r="D167" s="25" t="s">
        <v>677</v>
      </c>
      <c r="E167" s="29" t="s">
        <v>8</v>
      </c>
      <c r="F167" s="25" t="s">
        <v>678</v>
      </c>
      <c r="G167" s="25"/>
      <c r="H167" s="25" t="s">
        <v>61</v>
      </c>
      <c r="I167" s="25"/>
      <c r="J167" s="25" t="s">
        <v>123</v>
      </c>
      <c r="K167" s="27"/>
      <c r="L167" s="27"/>
      <c r="M167" s="27"/>
    </row>
    <row r="168" customFormat="false" ht="22.35" hidden="false" customHeight="false" outlineLevel="0" collapsed="false">
      <c r="A168" s="25" t="s">
        <v>679</v>
      </c>
      <c r="B168" s="25" t="s">
        <v>39</v>
      </c>
      <c r="C168" s="25" t="s">
        <v>672</v>
      </c>
      <c r="D168" s="25" t="s">
        <v>680</v>
      </c>
      <c r="E168" s="30" t="s">
        <v>14</v>
      </c>
      <c r="F168" s="25" t="s">
        <v>681</v>
      </c>
      <c r="G168" s="25"/>
      <c r="H168" s="25" t="s">
        <v>682</v>
      </c>
      <c r="I168" s="25" t="s">
        <v>84</v>
      </c>
      <c r="J168" s="25" t="s">
        <v>683</v>
      </c>
      <c r="K168" s="27"/>
      <c r="L168" s="27"/>
      <c r="M168" s="27"/>
    </row>
    <row r="169" customFormat="false" ht="22.35" hidden="false" customHeight="false" outlineLevel="0" collapsed="false">
      <c r="A169" s="25" t="s">
        <v>684</v>
      </c>
      <c r="B169" s="25" t="s">
        <v>39</v>
      </c>
      <c r="C169" s="25" t="s">
        <v>685</v>
      </c>
      <c r="D169" s="25" t="s">
        <v>686</v>
      </c>
      <c r="E169" s="30" t="s">
        <v>14</v>
      </c>
      <c r="F169" s="25" t="s">
        <v>687</v>
      </c>
      <c r="G169" s="25"/>
      <c r="H169" s="25" t="s">
        <v>688</v>
      </c>
      <c r="I169" s="25" t="s">
        <v>164</v>
      </c>
      <c r="J169" s="25" t="s">
        <v>170</v>
      </c>
      <c r="K169" s="27"/>
      <c r="L169" s="27"/>
      <c r="M169" s="27"/>
    </row>
    <row r="170" customFormat="false" ht="22.35" hidden="false" customHeight="false" outlineLevel="0" collapsed="false">
      <c r="A170" s="25" t="s">
        <v>689</v>
      </c>
      <c r="B170" s="25" t="s">
        <v>39</v>
      </c>
      <c r="C170" s="25" t="s">
        <v>685</v>
      </c>
      <c r="D170" s="25" t="s">
        <v>690</v>
      </c>
      <c r="E170" s="30" t="s">
        <v>14</v>
      </c>
      <c r="F170" s="25" t="s">
        <v>61</v>
      </c>
      <c r="G170" s="25"/>
      <c r="H170" s="25" t="s">
        <v>691</v>
      </c>
      <c r="I170" s="25" t="s">
        <v>164</v>
      </c>
      <c r="J170" s="25" t="s">
        <v>170</v>
      </c>
      <c r="K170" s="27"/>
      <c r="L170" s="27"/>
      <c r="M170" s="27"/>
    </row>
    <row r="171" customFormat="false" ht="22.35" hidden="false" customHeight="false" outlineLevel="0" collapsed="false">
      <c r="A171" s="25" t="s">
        <v>692</v>
      </c>
      <c r="B171" s="25" t="s">
        <v>39</v>
      </c>
      <c r="C171" s="25" t="s">
        <v>693</v>
      </c>
      <c r="D171" s="25" t="s">
        <v>694</v>
      </c>
      <c r="E171" s="29" t="s">
        <v>8</v>
      </c>
      <c r="F171" s="25" t="s">
        <v>695</v>
      </c>
      <c r="G171" s="25"/>
      <c r="H171" s="25" t="s">
        <v>696</v>
      </c>
      <c r="I171" s="25" t="s">
        <v>467</v>
      </c>
      <c r="J171" s="25" t="s">
        <v>150</v>
      </c>
      <c r="K171" s="27"/>
      <c r="L171" s="27"/>
      <c r="M171" s="27"/>
    </row>
    <row r="172" customFormat="false" ht="22.35" hidden="false" customHeight="false" outlineLevel="0" collapsed="false">
      <c r="A172" s="25" t="s">
        <v>697</v>
      </c>
      <c r="B172" s="25" t="s">
        <v>39</v>
      </c>
      <c r="C172" s="25" t="s">
        <v>693</v>
      </c>
      <c r="D172" s="25" t="s">
        <v>698</v>
      </c>
      <c r="E172" s="28" t="s">
        <v>12</v>
      </c>
      <c r="F172" s="25" t="s">
        <v>699</v>
      </c>
      <c r="G172" s="25" t="s">
        <v>700</v>
      </c>
      <c r="H172" s="25" t="s">
        <v>701</v>
      </c>
      <c r="I172" s="25" t="s">
        <v>84</v>
      </c>
      <c r="J172" s="25" t="s">
        <v>329</v>
      </c>
      <c r="K172" s="27"/>
      <c r="L172" s="27"/>
      <c r="M172" s="27"/>
    </row>
    <row r="173" customFormat="false" ht="22.35" hidden="false" customHeight="false" outlineLevel="0" collapsed="false">
      <c r="A173" s="25" t="s">
        <v>702</v>
      </c>
      <c r="B173" s="25" t="s">
        <v>39</v>
      </c>
      <c r="C173" s="25" t="s">
        <v>693</v>
      </c>
      <c r="D173" s="25" t="s">
        <v>703</v>
      </c>
      <c r="E173" s="29" t="s">
        <v>8</v>
      </c>
      <c r="F173" s="25" t="s">
        <v>704</v>
      </c>
      <c r="G173" s="25"/>
      <c r="H173" s="25" t="s">
        <v>61</v>
      </c>
      <c r="I173" s="25"/>
      <c r="J173" s="25" t="s">
        <v>329</v>
      </c>
      <c r="K173" s="27"/>
      <c r="L173" s="27"/>
      <c r="M173" s="27"/>
    </row>
    <row r="174" customFormat="false" ht="22.35" hidden="false" customHeight="false" outlineLevel="0" collapsed="false">
      <c r="A174" s="25" t="s">
        <v>705</v>
      </c>
      <c r="B174" s="25" t="s">
        <v>39</v>
      </c>
      <c r="C174" s="25" t="s">
        <v>693</v>
      </c>
      <c r="D174" s="25" t="s">
        <v>706</v>
      </c>
      <c r="E174" s="29" t="s">
        <v>8</v>
      </c>
      <c r="F174" s="25" t="s">
        <v>707</v>
      </c>
      <c r="G174" s="25"/>
      <c r="H174" s="25" t="s">
        <v>61</v>
      </c>
      <c r="I174" s="25"/>
      <c r="J174" s="25" t="s">
        <v>329</v>
      </c>
      <c r="K174" s="27"/>
      <c r="L174" s="27"/>
      <c r="M174" s="27"/>
    </row>
    <row r="175" customFormat="false" ht="22.35" hidden="false" customHeight="false" outlineLevel="0" collapsed="false">
      <c r="A175" s="25" t="s">
        <v>708</v>
      </c>
      <c r="B175" s="25" t="s">
        <v>39</v>
      </c>
      <c r="C175" s="25" t="s">
        <v>693</v>
      </c>
      <c r="D175" s="25" t="s">
        <v>709</v>
      </c>
      <c r="E175" s="28" t="s">
        <v>12</v>
      </c>
      <c r="F175" s="25" t="s">
        <v>710</v>
      </c>
      <c r="G175" s="25" t="s">
        <v>711</v>
      </c>
      <c r="H175" s="25" t="s">
        <v>712</v>
      </c>
      <c r="I175" s="25" t="s">
        <v>84</v>
      </c>
      <c r="J175" s="25" t="s">
        <v>683</v>
      </c>
      <c r="K175" s="27"/>
      <c r="L175" s="27"/>
      <c r="M175" s="27"/>
    </row>
    <row r="176" customFormat="false" ht="22.35" hidden="false" customHeight="false" outlineLevel="0" collapsed="false">
      <c r="A176" s="25" t="s">
        <v>713</v>
      </c>
      <c r="B176" s="25" t="s">
        <v>39</v>
      </c>
      <c r="C176" s="25" t="s">
        <v>693</v>
      </c>
      <c r="D176" s="25" t="s">
        <v>714</v>
      </c>
      <c r="E176" s="29" t="s">
        <v>8</v>
      </c>
      <c r="F176" s="25" t="s">
        <v>715</v>
      </c>
      <c r="G176" s="25"/>
      <c r="H176" s="25" t="s">
        <v>716</v>
      </c>
      <c r="I176" s="25" t="s">
        <v>467</v>
      </c>
      <c r="J176" s="25" t="s">
        <v>683</v>
      </c>
      <c r="K176" s="27"/>
      <c r="L176" s="27"/>
      <c r="M176" s="27"/>
    </row>
    <row r="177" customFormat="false" ht="22.35" hidden="false" customHeight="false" outlineLevel="0" collapsed="false">
      <c r="A177" s="25" t="s">
        <v>717</v>
      </c>
      <c r="B177" s="25" t="s">
        <v>39</v>
      </c>
      <c r="C177" s="25" t="s">
        <v>693</v>
      </c>
      <c r="D177" s="25" t="s">
        <v>718</v>
      </c>
      <c r="E177" s="30" t="s">
        <v>14</v>
      </c>
      <c r="F177" s="25" t="s">
        <v>61</v>
      </c>
      <c r="G177" s="25"/>
      <c r="H177" s="25" t="s">
        <v>719</v>
      </c>
      <c r="I177" s="25" t="s">
        <v>84</v>
      </c>
      <c r="J177" s="25" t="s">
        <v>683</v>
      </c>
      <c r="K177" s="27"/>
      <c r="L177" s="27"/>
      <c r="M177" s="27"/>
    </row>
    <row r="178" customFormat="false" ht="22.35" hidden="false" customHeight="false" outlineLevel="0" collapsed="false">
      <c r="A178" s="25" t="s">
        <v>720</v>
      </c>
      <c r="B178" s="25" t="s">
        <v>39</v>
      </c>
      <c r="C178" s="25" t="s">
        <v>693</v>
      </c>
      <c r="D178" s="25" t="s">
        <v>721</v>
      </c>
      <c r="E178" s="28" t="s">
        <v>12</v>
      </c>
      <c r="F178" s="25" t="s">
        <v>722</v>
      </c>
      <c r="G178" s="25" t="s">
        <v>723</v>
      </c>
      <c r="H178" s="25" t="s">
        <v>724</v>
      </c>
      <c r="I178" s="25" t="s">
        <v>467</v>
      </c>
      <c r="J178" s="25" t="s">
        <v>683</v>
      </c>
      <c r="K178" s="27"/>
      <c r="L178" s="27"/>
      <c r="M178" s="27"/>
    </row>
    <row r="179" customFormat="false" ht="22.35" hidden="false" customHeight="false" outlineLevel="0" collapsed="false">
      <c r="A179" s="25" t="s">
        <v>725</v>
      </c>
      <c r="B179" s="25" t="s">
        <v>39</v>
      </c>
      <c r="C179" s="25" t="s">
        <v>693</v>
      </c>
      <c r="D179" s="25" t="s">
        <v>726</v>
      </c>
      <c r="E179" s="30" t="s">
        <v>14</v>
      </c>
      <c r="F179" s="25" t="s">
        <v>61</v>
      </c>
      <c r="G179" s="25"/>
      <c r="H179" s="25" t="s">
        <v>727</v>
      </c>
      <c r="I179" s="25" t="s">
        <v>84</v>
      </c>
      <c r="J179" s="25" t="s">
        <v>431</v>
      </c>
      <c r="K179" s="27"/>
      <c r="L179" s="27"/>
      <c r="M179" s="27"/>
    </row>
    <row r="180" customFormat="false" ht="22.35" hidden="false" customHeight="false" outlineLevel="0" collapsed="false">
      <c r="A180" s="25" t="s">
        <v>728</v>
      </c>
      <c r="B180" s="25" t="s">
        <v>39</v>
      </c>
      <c r="C180" s="25" t="s">
        <v>729</v>
      </c>
      <c r="D180" s="25" t="s">
        <v>730</v>
      </c>
      <c r="E180" s="30" t="s">
        <v>14</v>
      </c>
      <c r="F180" s="25" t="s">
        <v>731</v>
      </c>
      <c r="G180" s="25"/>
      <c r="H180" s="25" t="s">
        <v>732</v>
      </c>
      <c r="I180" s="25" t="s">
        <v>421</v>
      </c>
      <c r="J180" s="25" t="s">
        <v>354</v>
      </c>
      <c r="K180" s="27"/>
      <c r="L180" s="27"/>
      <c r="M180" s="27"/>
    </row>
    <row r="181" customFormat="false" ht="32.8" hidden="false" customHeight="false" outlineLevel="0" collapsed="false">
      <c r="A181" s="25" t="s">
        <v>733</v>
      </c>
      <c r="B181" s="25" t="s">
        <v>39</v>
      </c>
      <c r="C181" s="25" t="s">
        <v>734</v>
      </c>
      <c r="D181" s="25" t="s">
        <v>735</v>
      </c>
      <c r="E181" s="28" t="s">
        <v>12</v>
      </c>
      <c r="F181" s="25" t="s">
        <v>736</v>
      </c>
      <c r="G181" s="25"/>
      <c r="H181" s="25" t="s">
        <v>737</v>
      </c>
      <c r="I181" s="25" t="s">
        <v>84</v>
      </c>
      <c r="J181" s="25" t="s">
        <v>738</v>
      </c>
      <c r="K181" s="27"/>
      <c r="L181" s="27"/>
      <c r="M181" s="27"/>
    </row>
    <row r="182" customFormat="false" ht="22.35" hidden="false" customHeight="false" outlineLevel="0" collapsed="false">
      <c r="A182" s="25" t="s">
        <v>739</v>
      </c>
      <c r="B182" s="25" t="s">
        <v>39</v>
      </c>
      <c r="C182" s="25" t="s">
        <v>734</v>
      </c>
      <c r="D182" s="25" t="s">
        <v>740</v>
      </c>
      <c r="E182" s="30" t="s">
        <v>14</v>
      </c>
      <c r="F182" s="25" t="s">
        <v>61</v>
      </c>
      <c r="G182" s="25"/>
      <c r="H182" s="25" t="s">
        <v>741</v>
      </c>
      <c r="I182" s="25" t="s">
        <v>742</v>
      </c>
      <c r="J182" s="25" t="s">
        <v>738</v>
      </c>
      <c r="K182" s="27"/>
      <c r="L182" s="27"/>
      <c r="M182" s="27"/>
    </row>
    <row r="183" customFormat="false" ht="22.35" hidden="false" customHeight="false" outlineLevel="0" collapsed="false">
      <c r="A183" s="25" t="s">
        <v>743</v>
      </c>
      <c r="B183" s="25" t="s">
        <v>39</v>
      </c>
      <c r="C183" s="25" t="s">
        <v>734</v>
      </c>
      <c r="D183" s="25" t="s">
        <v>744</v>
      </c>
      <c r="E183" s="30" t="s">
        <v>14</v>
      </c>
      <c r="F183" s="25" t="s">
        <v>61</v>
      </c>
      <c r="G183" s="25"/>
      <c r="H183" s="25" t="s">
        <v>745</v>
      </c>
      <c r="I183" s="25" t="s">
        <v>742</v>
      </c>
      <c r="J183" s="25" t="s">
        <v>738</v>
      </c>
      <c r="K183" s="27"/>
      <c r="L183" s="27"/>
      <c r="M183" s="27"/>
    </row>
    <row r="184" customFormat="false" ht="22.35" hidden="false" customHeight="false" outlineLevel="0" collapsed="false">
      <c r="A184" s="25" t="s">
        <v>746</v>
      </c>
      <c r="B184" s="25" t="s">
        <v>39</v>
      </c>
      <c r="C184" s="25" t="s">
        <v>747</v>
      </c>
      <c r="D184" s="25" t="s">
        <v>748</v>
      </c>
      <c r="E184" s="28" t="s">
        <v>12</v>
      </c>
      <c r="F184" s="25" t="s">
        <v>749</v>
      </c>
      <c r="G184" s="25" t="s">
        <v>750</v>
      </c>
      <c r="H184" s="25" t="s">
        <v>751</v>
      </c>
      <c r="I184" s="25" t="s">
        <v>60</v>
      </c>
      <c r="J184" s="25" t="s">
        <v>752</v>
      </c>
      <c r="K184" s="27"/>
      <c r="L184" s="27"/>
      <c r="M184" s="27"/>
    </row>
    <row r="185" customFormat="false" ht="22.35" hidden="false" customHeight="false" outlineLevel="0" collapsed="false">
      <c r="A185" s="25" t="s">
        <v>753</v>
      </c>
      <c r="B185" s="25" t="s">
        <v>39</v>
      </c>
      <c r="C185" s="25" t="s">
        <v>747</v>
      </c>
      <c r="D185" s="25" t="s">
        <v>754</v>
      </c>
      <c r="E185" s="28" t="s">
        <v>12</v>
      </c>
      <c r="F185" s="25" t="s">
        <v>61</v>
      </c>
      <c r="G185" s="25"/>
      <c r="H185" s="25" t="s">
        <v>755</v>
      </c>
      <c r="I185" s="25" t="s">
        <v>742</v>
      </c>
      <c r="J185" s="25" t="s">
        <v>738</v>
      </c>
      <c r="K185" s="27"/>
      <c r="L185" s="27"/>
      <c r="M185" s="27"/>
    </row>
  </sheetData>
  <autoFilter ref="A1:M185"/>
  <conditionalFormatting sqref="K2:K185">
    <cfRule type="expression" priority="2" aboveAverage="0" equalAverage="0" bottom="0" percent="0" rank="0" text="" dxfId="10">
      <formula>OR(K2="Done",K2="Instructor accepted")</formula>
    </cfRule>
  </conditionalFormatting>
  <dataValidations count="1">
    <dataValidation allowBlank="true" errorStyle="stop" operator="between" showDropDown="false" showErrorMessage="false" showInputMessage="false" sqref="K2:K185" type="list">
      <formula1>"Done,In progress,Not started,Instructor accepted,N/A"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50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2" t="s">
        <v>756</v>
      </c>
    </row>
    <row r="3" customFormat="false" ht="23.85" hidden="false" customHeight="false" outlineLevel="0" collapsed="false">
      <c r="A3" s="33" t="s">
        <v>757</v>
      </c>
      <c r="B3" s="33" t="s">
        <v>758</v>
      </c>
      <c r="C3" s="33" t="s">
        <v>49</v>
      </c>
      <c r="D3" s="33" t="s">
        <v>759</v>
      </c>
      <c r="E3" s="33" t="s">
        <v>760</v>
      </c>
      <c r="F3" s="33" t="s">
        <v>761</v>
      </c>
      <c r="G3" s="33" t="s">
        <v>762</v>
      </c>
    </row>
    <row r="4" customFormat="false" ht="43.25" hidden="false" customHeight="false" outlineLevel="0" collapsed="false">
      <c r="A4" s="25" t="s">
        <v>60</v>
      </c>
      <c r="B4" s="25" t="s">
        <v>763</v>
      </c>
      <c r="C4" s="25" t="s">
        <v>764</v>
      </c>
      <c r="D4" s="25" t="s">
        <v>765</v>
      </c>
      <c r="E4" s="25" t="s">
        <v>766</v>
      </c>
      <c r="F4" s="25" t="n">
        <f aca="false">COUNTIFS(Requirements!$I$2:$I$185,A4,Requirements!$E$2:$E$185,"&lt;&gt;Met")</f>
        <v>17</v>
      </c>
      <c r="G4" s="25" t="s">
        <v>767</v>
      </c>
    </row>
    <row r="5" customFormat="false" ht="22.35" hidden="false" customHeight="false" outlineLevel="0" collapsed="false">
      <c r="A5" s="25" t="s">
        <v>644</v>
      </c>
      <c r="B5" s="25" t="s">
        <v>763</v>
      </c>
      <c r="C5" s="25" t="s">
        <v>768</v>
      </c>
      <c r="D5" s="25" t="s">
        <v>769</v>
      </c>
      <c r="E5" s="25" t="s">
        <v>640</v>
      </c>
      <c r="F5" s="25" t="n">
        <f aca="false">COUNTIFS(Requirements!$I$2:$I$185,A5,Requirements!$E$2:$E$185,"&lt;&gt;Met")</f>
        <v>1</v>
      </c>
      <c r="G5" s="25" t="s">
        <v>770</v>
      </c>
    </row>
    <row r="6" customFormat="false" ht="22.35" hidden="false" customHeight="false" outlineLevel="0" collapsed="false">
      <c r="A6" s="25" t="s">
        <v>220</v>
      </c>
      <c r="B6" s="25" t="s">
        <v>763</v>
      </c>
      <c r="C6" s="25" t="s">
        <v>771</v>
      </c>
      <c r="D6" s="25" t="s">
        <v>772</v>
      </c>
      <c r="E6" s="25" t="s">
        <v>773</v>
      </c>
      <c r="F6" s="25" t="n">
        <f aca="false">COUNTIFS(Requirements!$I$2:$I$185,A6,Requirements!$E$2:$E$185,"&lt;&gt;Met")</f>
        <v>3</v>
      </c>
      <c r="G6" s="25" t="s">
        <v>774</v>
      </c>
    </row>
    <row r="7" customFormat="false" ht="32.8" hidden="false" customHeight="false" outlineLevel="0" collapsed="false">
      <c r="A7" s="25" t="s">
        <v>302</v>
      </c>
      <c r="B7" s="25" t="s">
        <v>775</v>
      </c>
      <c r="C7" s="25" t="s">
        <v>776</v>
      </c>
      <c r="D7" s="25" t="s">
        <v>777</v>
      </c>
      <c r="E7" s="25" t="s">
        <v>778</v>
      </c>
      <c r="F7" s="25" t="n">
        <f aca="false">COUNTIFS(Requirements!$I$2:$I$185,A7,Requirements!$E$2:$E$185,"&lt;&gt;Met")</f>
        <v>5</v>
      </c>
      <c r="G7" s="25" t="s">
        <v>779</v>
      </c>
    </row>
    <row r="8" customFormat="false" ht="22.35" hidden="false" customHeight="false" outlineLevel="0" collapsed="false">
      <c r="A8" s="25" t="s">
        <v>319</v>
      </c>
      <c r="B8" s="25" t="s">
        <v>780</v>
      </c>
      <c r="C8" s="25" t="s">
        <v>781</v>
      </c>
      <c r="D8" s="25" t="s">
        <v>782</v>
      </c>
      <c r="E8" s="25" t="s">
        <v>783</v>
      </c>
      <c r="F8" s="25" t="n">
        <f aca="false">COUNTIFS(Requirements!$I$2:$I$185,A8,Requirements!$E$2:$E$185,"&lt;&gt;Met")</f>
        <v>3</v>
      </c>
      <c r="G8" s="25" t="s">
        <v>779</v>
      </c>
    </row>
    <row r="9" customFormat="false" ht="22.35" hidden="false" customHeight="false" outlineLevel="0" collapsed="false">
      <c r="A9" s="25" t="s">
        <v>614</v>
      </c>
      <c r="B9" s="25" t="s">
        <v>784</v>
      </c>
      <c r="C9" s="25" t="s">
        <v>785</v>
      </c>
      <c r="D9" s="25" t="s">
        <v>786</v>
      </c>
      <c r="E9" s="25" t="s">
        <v>787</v>
      </c>
      <c r="F9" s="25" t="n">
        <f aca="false">COUNTIFS(Requirements!$I$2:$I$185,A9,Requirements!$E$2:$E$185,"&lt;&gt;Met")</f>
        <v>5</v>
      </c>
      <c r="G9" s="25" t="s">
        <v>770</v>
      </c>
    </row>
    <row r="10" customFormat="false" ht="22.35" hidden="false" customHeight="false" outlineLevel="0" collapsed="false">
      <c r="A10" s="25" t="s">
        <v>164</v>
      </c>
      <c r="B10" s="25" t="s">
        <v>788</v>
      </c>
      <c r="C10" s="25" t="s">
        <v>789</v>
      </c>
      <c r="D10" s="25" t="s">
        <v>790</v>
      </c>
      <c r="E10" s="25" t="s">
        <v>791</v>
      </c>
      <c r="F10" s="25" t="n">
        <f aca="false">COUNTIFS(Requirements!$I$2:$I$185,A10,Requirements!$E$2:$E$185,"&lt;&gt;Met")</f>
        <v>6</v>
      </c>
      <c r="G10" s="25" t="s">
        <v>792</v>
      </c>
    </row>
    <row r="11" customFormat="false" ht="22.35" hidden="false" customHeight="false" outlineLevel="0" collapsed="false">
      <c r="A11" s="25" t="s">
        <v>467</v>
      </c>
      <c r="B11" s="25" t="s">
        <v>793</v>
      </c>
      <c r="C11" s="25" t="s">
        <v>794</v>
      </c>
      <c r="D11" s="25" t="s">
        <v>795</v>
      </c>
      <c r="E11" s="25" t="s">
        <v>796</v>
      </c>
      <c r="F11" s="25" t="n">
        <f aca="false">COUNTIFS(Requirements!$I$2:$I$185,A11,Requirements!$E$2:$E$185,"&lt;&gt;Met")</f>
        <v>2</v>
      </c>
      <c r="G11" s="25" t="s">
        <v>797</v>
      </c>
    </row>
    <row r="12" customFormat="false" ht="32.8" hidden="false" customHeight="false" outlineLevel="0" collapsed="false">
      <c r="A12" s="25" t="s">
        <v>194</v>
      </c>
      <c r="B12" s="25" t="s">
        <v>798</v>
      </c>
      <c r="C12" s="25" t="s">
        <v>799</v>
      </c>
      <c r="D12" s="25" t="s">
        <v>800</v>
      </c>
      <c r="E12" s="25" t="s">
        <v>801</v>
      </c>
      <c r="F12" s="25" t="n">
        <f aca="false">COUNTIFS(Requirements!$I$2:$I$185,A12,Requirements!$E$2:$E$185,"&lt;&gt;Met")</f>
        <v>5</v>
      </c>
      <c r="G12" s="25" t="s">
        <v>34</v>
      </c>
    </row>
    <row r="13" customFormat="false" ht="32.8" hidden="false" customHeight="false" outlineLevel="0" collapsed="false">
      <c r="A13" s="25" t="s">
        <v>122</v>
      </c>
      <c r="B13" s="25" t="s">
        <v>802</v>
      </c>
      <c r="C13" s="25" t="s">
        <v>803</v>
      </c>
      <c r="D13" s="25" t="s">
        <v>804</v>
      </c>
      <c r="E13" s="25" t="s">
        <v>805</v>
      </c>
      <c r="F13" s="25" t="n">
        <f aca="false">COUNTIFS(Requirements!$I$2:$I$185,A13,Requirements!$E$2:$E$185,"&lt;&gt;Met")</f>
        <v>9</v>
      </c>
      <c r="G13" s="25" t="s">
        <v>33</v>
      </c>
    </row>
    <row r="14" customFormat="false" ht="22.35" hidden="false" customHeight="false" outlineLevel="0" collapsed="false">
      <c r="A14" s="25" t="s">
        <v>421</v>
      </c>
      <c r="B14" s="25" t="s">
        <v>806</v>
      </c>
      <c r="C14" s="25" t="s">
        <v>807</v>
      </c>
      <c r="D14" s="25" t="s">
        <v>808</v>
      </c>
      <c r="E14" s="25" t="s">
        <v>809</v>
      </c>
      <c r="F14" s="25" t="n">
        <f aca="false">COUNTIFS(Requirements!$I$2:$I$185,A14,Requirements!$E$2:$E$185,"&lt;&gt;Met")</f>
        <v>2</v>
      </c>
      <c r="G14" s="25" t="s">
        <v>810</v>
      </c>
    </row>
    <row r="15" customFormat="false" ht="32.8" hidden="false" customHeight="false" outlineLevel="0" collapsed="false">
      <c r="A15" s="25" t="s">
        <v>84</v>
      </c>
      <c r="B15" s="25" t="s">
        <v>811</v>
      </c>
      <c r="C15" s="25" t="s">
        <v>812</v>
      </c>
      <c r="D15" s="25" t="s">
        <v>813</v>
      </c>
      <c r="E15" s="25" t="s">
        <v>814</v>
      </c>
      <c r="F15" s="25" t="n">
        <f aca="false">COUNTIFS(Requirements!$I$2:$I$185,A15,Requirements!$E$2:$E$185,"&lt;&gt;Met")</f>
        <v>8</v>
      </c>
      <c r="G15" s="25" t="s">
        <v>815</v>
      </c>
    </row>
    <row r="16" customFormat="false" ht="22.35" hidden="false" customHeight="false" outlineLevel="0" collapsed="false">
      <c r="A16" s="25" t="s">
        <v>742</v>
      </c>
      <c r="B16" s="25" t="s">
        <v>816</v>
      </c>
      <c r="C16" s="25" t="s">
        <v>817</v>
      </c>
      <c r="D16" s="25" t="s">
        <v>818</v>
      </c>
      <c r="E16" s="25" t="s">
        <v>819</v>
      </c>
      <c r="F16" s="25" t="n">
        <f aca="false">COUNTIFS(Requirements!$I$2:$I$185,A16,Requirements!$E$2:$E$185,"&lt;&gt;Met")</f>
        <v>3</v>
      </c>
      <c r="G16" s="25" t="s">
        <v>770</v>
      </c>
    </row>
    <row r="18" customFormat="false" ht="15" hidden="false" customHeight="false" outlineLevel="0" collapsed="false">
      <c r="A18" s="24" t="s">
        <v>820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2026-10-13T20:33:22Z</dcterms:created>
  <dc:creator>openpyxl</dc:creator>
  <dc:description/>
  <dc:language>en-US</dc:language>
  <cp:lastModifiedBy/>
  <dcterms:modified xsi:type="dcterms:W3CDTF">2026-10-13T20:33:22Z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