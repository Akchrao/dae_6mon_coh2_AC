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PAA Checklist" sheetId="1" state="visible" r:id="rId1"/>
    <sheet name="Remediation Plan" sheetId="2" state="visible" r:id="rId2"/>
    <sheet name="Guardrails" sheetId="3" state="visible" r:id="rId3"/>
    <sheet name="Tag Standard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9F2E3"/>
      </patternFill>
    </fill>
    <fill>
      <patternFill patternType="solid">
        <fgColor rgb="00F8D7D3"/>
      </patternFill>
    </fill>
    <fill>
      <patternFill patternType="solid">
        <fgColor rgb="00FFF0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28" customWidth="1" min="4" max="4"/>
    <col width="60" customWidth="1" min="5" max="5"/>
    <col width="10" customWidth="1" min="6" max="6"/>
    <col width="45" customWidth="1" min="7" max="7"/>
    <col width="18" customWidth="1" min="8" max="8"/>
  </cols>
  <sheetData>
    <row r="1">
      <c r="A1" s="1" t="inlineStr">
        <is>
          <t>ID</t>
        </is>
      </c>
      <c r="B1" s="1" t="inlineStr">
        <is>
          <t>Safeguard</t>
        </is>
      </c>
      <c r="C1" s="1" t="inlineStr">
        <is>
          <t>HIPAA citation</t>
        </is>
      </c>
      <c r="D1" s="1" t="inlineStr">
        <is>
          <t>Requirement</t>
        </is>
      </c>
      <c r="E1" s="1" t="inlineStr">
        <is>
          <t>CAN configuration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NIST CSF 2.0</t>
        </is>
      </c>
    </row>
    <row r="2">
      <c r="A2" s="2" t="inlineStr">
        <is>
          <t>A1</t>
        </is>
      </c>
      <c r="B2" s="2" t="inlineStr">
        <is>
          <t>Administrative</t>
        </is>
      </c>
      <c r="C2" s="2" t="inlineStr">
        <is>
          <t>§164.308(a)(1)(ii)(A)</t>
        </is>
      </c>
      <c r="D2" s="2" t="inlineStr">
        <is>
          <t>Risk analysis</t>
        </is>
      </c>
      <c r="E2" s="2" t="inlineStr">
        <is>
          <t>Cloud risk assessment workbook; Trivy image scanning; continuous Azure Policy HIPAA evaluation</t>
        </is>
      </c>
      <c r="F2" s="3" t="inlineStr">
        <is>
          <t>Met</t>
        </is>
      </c>
      <c r="G2" s="2" t="inlineStr">
        <is>
          <t>Risk_Assessment.xlsx; Infra PDF Part B; policy scan</t>
        </is>
      </c>
      <c r="H2" s="2" t="inlineStr">
        <is>
          <t>ID.RA-01</t>
        </is>
      </c>
    </row>
    <row r="3">
      <c r="A3" s="2" t="inlineStr">
        <is>
          <t>A2</t>
        </is>
      </c>
      <c r="B3" s="2" t="inlineStr">
        <is>
          <t>Administrative</t>
        </is>
      </c>
      <c r="C3" s="2" t="inlineStr">
        <is>
          <t>§164.308(a)(1)(ii)(B)</t>
        </is>
      </c>
      <c r="D3" s="2" t="inlineStr">
        <is>
          <t>Risk management</t>
        </is>
      </c>
      <c r="E3" s="2" t="inlineStr">
        <is>
          <t>Deny guardrails at management-group level (regions, VM sizes, storage baselines, banned resource types)</t>
        </is>
      </c>
      <c r="F3" s="3" t="inlineStr">
        <is>
          <t>Met</t>
        </is>
      </c>
      <c r="G3" s="2" t="inlineStr">
        <is>
          <t>Enforcement tests T3–T9</t>
        </is>
      </c>
      <c r="H3" s="2" t="inlineStr">
        <is>
          <t>GV.RM-01, PR.PS-01</t>
        </is>
      </c>
    </row>
    <row r="4">
      <c r="A4" s="2" t="inlineStr">
        <is>
          <t>A3</t>
        </is>
      </c>
      <c r="B4" s="2" t="inlineStr">
        <is>
          <t>Administrative</t>
        </is>
      </c>
      <c r="C4" s="2" t="inlineStr">
        <is>
          <t>§164.308(a)(1)(ii)(D)</t>
        </is>
      </c>
      <c r="D4" s="2" t="inlineStr">
        <is>
          <t>Information system activity review</t>
        </is>
      </c>
      <c r="E4" s="2" t="inlineStr">
        <is>
          <t>Activity Log kept 90 days by default only; no export to Log Analytics; no activity-log alerts</t>
        </is>
      </c>
      <c r="F4" s="4" t="inlineStr">
        <is>
          <t>Gap</t>
        </is>
      </c>
      <c r="G4" s="2" t="inlineStr">
        <is>
          <t>Policy: 'activity log alert should exist' NonCompliant; 0 subscription diagnostic settings</t>
        </is>
      </c>
      <c r="H4" s="2" t="inlineStr">
        <is>
          <t>DE.CM-09</t>
        </is>
      </c>
    </row>
    <row r="5">
      <c r="A5" s="2" t="inlineStr">
        <is>
          <t>A4</t>
        </is>
      </c>
      <c r="B5" s="2" t="inlineStr">
        <is>
          <t>Administrative</t>
        </is>
      </c>
      <c r="C5" s="2" t="inlineStr">
        <is>
          <t>§164.308(a)(3)(ii)(B)</t>
        </is>
      </c>
      <c r="D5" s="2" t="inlineStr">
        <is>
          <t>Workforce clearance / least privilege</t>
        </is>
      </c>
      <c r="E5" s="2" t="inlineStr">
        <is>
          <t>Entra app roles mapped to 7 Keycloak roles; function identity holds one scoped role</t>
        </is>
      </c>
      <c r="F5" s="3" t="inlineStr">
        <is>
          <t>Met</t>
        </is>
      </c>
      <c r="G5" s="2" t="inlineStr">
        <is>
          <t>Criterion 4 addendum; Infra PDF Step C2</t>
        </is>
      </c>
      <c r="H5" s="2" t="inlineStr">
        <is>
          <t>PR.AA-05</t>
        </is>
      </c>
    </row>
    <row r="6">
      <c r="A6" s="2" t="inlineStr">
        <is>
          <t>A5</t>
        </is>
      </c>
      <c r="B6" s="2" t="inlineStr">
        <is>
          <t>Administrative</t>
        </is>
      </c>
      <c r="C6" s="2" t="inlineStr">
        <is>
          <t>§164.308(a)(4)(ii)(B)</t>
        </is>
      </c>
      <c r="D6" s="2" t="inlineStr">
        <is>
          <t>Access authorization (privileged access)</t>
        </is>
      </c>
      <c r="E6" s="2" t="inlineStr">
        <is>
          <t>Single subscription Owner, and it is a guest (#EXT#) personal Microsoft account</t>
        </is>
      </c>
      <c r="F6" s="4" t="inlineStr">
        <is>
          <t>Gap</t>
        </is>
      </c>
      <c r="G6" s="2" t="inlineStr">
        <is>
          <t>Policy: guest owners / more than one owner NonCompliant</t>
        </is>
      </c>
      <c r="H6" s="2" t="inlineStr">
        <is>
          <t>PR.AA-05, GV.RR-02</t>
        </is>
      </c>
    </row>
    <row r="7">
      <c r="A7" s="2" t="inlineStr">
        <is>
          <t>A6</t>
        </is>
      </c>
      <c r="B7" s="2" t="inlineStr">
        <is>
          <t>Administrative</t>
        </is>
      </c>
      <c r="C7" s="2" t="inlineStr">
        <is>
          <t>§164.308(a)(5)(ii)(B)</t>
        </is>
      </c>
      <c r="D7" s="2" t="inlineStr">
        <is>
          <t>Protection from malicious software</t>
        </is>
      </c>
      <c r="E7" s="2" t="inlineStr">
        <is>
          <t>VM automatic patching (Azure + unattended-upgrades); container images 0 CVEs; no VM vulnerability scanner</t>
        </is>
      </c>
      <c r="F7" s="5" t="inlineStr">
        <is>
          <t>Partial</t>
        </is>
      </c>
      <c r="G7" s="2" t="inlineStr">
        <is>
          <t>Infra PDF Part A; policy: 'vulnerability assessment on VMs' NonCompliant</t>
        </is>
      </c>
      <c r="H7" s="2" t="inlineStr">
        <is>
          <t>PR.PS-02, ID.RA-01</t>
        </is>
      </c>
    </row>
    <row r="8">
      <c r="A8" s="2" t="inlineStr">
        <is>
          <t>A7</t>
        </is>
      </c>
      <c r="B8" s="2" t="inlineStr">
        <is>
          <t>Administrative</t>
        </is>
      </c>
      <c r="C8" s="2" t="inlineStr">
        <is>
          <t>§164.308(a)(5)(ii)(C)</t>
        </is>
      </c>
      <c r="D8" s="2" t="inlineStr">
        <is>
          <t>Log-in monitoring</t>
        </is>
      </c>
      <c r="E8" s="2" t="inlineStr">
        <is>
          <t>fail2ban + sshd VERBOSE on VM; Entra sign-in logs (Free tier, 7-day retention)</t>
        </is>
      </c>
      <c r="F8" s="5" t="inlineStr">
        <is>
          <t>Partial</t>
        </is>
      </c>
      <c r="G8" s="2" t="inlineStr">
        <is>
          <t>Infra PDF Step A4</t>
        </is>
      </c>
      <c r="H8" s="2" t="inlineStr">
        <is>
          <t>DE.CM-03</t>
        </is>
      </c>
    </row>
    <row r="9">
      <c r="A9" s="2" t="inlineStr">
        <is>
          <t>A8</t>
        </is>
      </c>
      <c r="B9" s="2" t="inlineStr">
        <is>
          <t>Administrative</t>
        </is>
      </c>
      <c r="C9" s="2" t="inlineStr">
        <is>
          <t>§164.308(a)(6)</t>
        </is>
      </c>
      <c r="D9" s="2" t="inlineStr">
        <is>
          <t>Security incident procedures</t>
        </is>
      </c>
      <c r="E9" s="2" t="inlineStr">
        <is>
          <t>No documented, tested incident-response playbook yet</t>
        </is>
      </c>
      <c r="F9" s="4" t="inlineStr">
        <is>
          <t>Gap</t>
        </is>
      </c>
      <c r="G9" s="2" t="inlineStr">
        <is>
          <t>Delivered by Criterion 6 (Security Operations &amp; IR)</t>
        </is>
      </c>
      <c r="H9" s="2" t="inlineStr">
        <is>
          <t>RS.MA-01</t>
        </is>
      </c>
    </row>
    <row r="10">
      <c r="A10" s="2" t="inlineStr">
        <is>
          <t>A9</t>
        </is>
      </c>
      <c r="B10" s="2" t="inlineStr">
        <is>
          <t>Administrative</t>
        </is>
      </c>
      <c r="C10" s="2" t="inlineStr">
        <is>
          <t>§164.308(a)(7)(ii)(A)</t>
        </is>
      </c>
      <c r="D10" s="2" t="inlineStr">
        <is>
          <t>Data backup plan</t>
        </is>
      </c>
      <c r="E10" s="2" t="inlineStr">
        <is>
          <t>No Azure Backup vault; VM not backed up; blob soft-delete on evidence storage only</t>
        </is>
      </c>
      <c r="F10" s="4" t="inlineStr">
        <is>
          <t>Gap</t>
        </is>
      </c>
      <c r="G10" s="2" t="inlineStr">
        <is>
          <t>Policy: 'Azure Backup should be enabled for VMs' NonCompliant; 0 Recovery Services vaults</t>
        </is>
      </c>
      <c r="H10" s="2" t="inlineStr">
        <is>
          <t>PR.DS-11</t>
        </is>
      </c>
    </row>
    <row r="11">
      <c r="A11" s="2" t="inlineStr">
        <is>
          <t>A10</t>
        </is>
      </c>
      <c r="B11" s="2" t="inlineStr">
        <is>
          <t>Administrative</t>
        </is>
      </c>
      <c r="C11" s="2" t="inlineStr">
        <is>
          <t>§164.308(a)(7)(ii)(B)</t>
        </is>
      </c>
      <c r="D11" s="2" t="inlineStr">
        <is>
          <t>Disaster recovery plan</t>
        </is>
      </c>
      <c r="E11" s="2" t="inlineStr">
        <is>
          <t>No cross-region recovery configured (single-region lab)</t>
        </is>
      </c>
      <c r="F11" s="4" t="inlineStr">
        <is>
          <t>Gap</t>
        </is>
      </c>
      <c r="G11" s="2" t="inlineStr">
        <is>
          <t>Policy: 'VMs without disaster recovery' NonCompliant</t>
        </is>
      </c>
      <c r="H11" s="2" t="inlineStr">
        <is>
          <t>RC.RP-01</t>
        </is>
      </c>
    </row>
    <row r="12">
      <c r="A12" s="2" t="inlineStr">
        <is>
          <t>A11</t>
        </is>
      </c>
      <c r="B12" s="2" t="inlineStr">
        <is>
          <t>Administrative</t>
        </is>
      </c>
      <c r="C12" s="2" t="inlineStr">
        <is>
          <t>§164.308(a)(8)</t>
        </is>
      </c>
      <c r="D12" s="2" t="inlineStr">
        <is>
          <t>Evaluation</t>
        </is>
      </c>
      <c r="E12" s="2" t="inlineStr">
        <is>
          <t>HITRUST/HIPAA initiative continuously evaluates 90 automated checks; on-demand scans</t>
        </is>
      </c>
      <c r="F12" s="3" t="inlineStr">
        <is>
          <t>Met</t>
        </is>
      </c>
      <c r="G12" s="2" t="inlineStr">
        <is>
          <t>evidence/05-compliance-before-after.txt</t>
        </is>
      </c>
      <c r="H12" s="2" t="inlineStr">
        <is>
          <t>ID.IM-01</t>
        </is>
      </c>
    </row>
    <row r="13">
      <c r="A13" s="2" t="inlineStr">
        <is>
          <t>A12</t>
        </is>
      </c>
      <c r="B13" s="2" t="inlineStr">
        <is>
          <t>Administrative</t>
        </is>
      </c>
      <c r="C13" s="2" t="inlineStr">
        <is>
          <t>§164.308(b)(1)</t>
        </is>
      </c>
      <c r="D13" s="2" t="inlineStr">
        <is>
          <t>Business associate agreement</t>
        </is>
      </c>
      <c r="E13" s="2" t="inlineStr">
        <is>
          <t>Microsoft HIPAA BAA applies to in-scope Azure services via the Product Terms</t>
        </is>
      </c>
      <c r="F13" s="3" t="inlineStr">
        <is>
          <t>Met</t>
        </is>
      </c>
      <c r="G13" s="2" t="inlineStr">
        <is>
          <t>Inherited (shared responsibility)</t>
        </is>
      </c>
      <c r="H13" s="2" t="inlineStr">
        <is>
          <t>GV.SC-05</t>
        </is>
      </c>
    </row>
    <row r="14">
      <c r="A14" s="2" t="inlineStr">
        <is>
          <t>P1</t>
        </is>
      </c>
      <c r="B14" s="2" t="inlineStr">
        <is>
          <t>Physical</t>
        </is>
      </c>
      <c r="C14" s="2" t="inlineStr">
        <is>
          <t>§164.310(a)–(d)</t>
        </is>
      </c>
      <c r="D14" s="2" t="inlineStr">
        <is>
          <t>Facility, workstation and device controls</t>
        </is>
      </c>
      <c r="E14" s="2" t="inlineStr">
        <is>
          <t>Azure datacenter physical security (inherited); admin workstation is a shared lab Mac</t>
        </is>
      </c>
      <c r="F14" s="5" t="inlineStr">
        <is>
          <t>Partial</t>
        </is>
      </c>
      <c r="G14" s="2" t="inlineStr">
        <is>
          <t>Shared-responsibility model (Fundamentals PDF)</t>
        </is>
      </c>
      <c r="H14" s="2" t="inlineStr">
        <is>
          <t>PR.AA-06</t>
        </is>
      </c>
    </row>
    <row r="15">
      <c r="A15" s="2" t="inlineStr">
        <is>
          <t>T1</t>
        </is>
      </c>
      <c r="B15" s="2" t="inlineStr">
        <is>
          <t>Technical</t>
        </is>
      </c>
      <c r="C15" s="2" t="inlineStr">
        <is>
          <t>§164.312(a)(2)(i)</t>
        </is>
      </c>
      <c r="D15" s="2" t="inlineStr">
        <is>
          <t>Unique user identification</t>
        </is>
      </c>
      <c r="E15" s="2" t="inlineStr">
        <is>
          <t>Entra users and per-person Keycloak federated usernames (entra-id.&lt;UPN&gt;)</t>
        </is>
      </c>
      <c r="F15" s="3" t="inlineStr">
        <is>
          <t>Met</t>
        </is>
      </c>
      <c r="G15" s="2" t="inlineStr">
        <is>
          <t>Criterion 4 addendum, defect 3 fix</t>
        </is>
      </c>
      <c r="H15" s="2" t="inlineStr">
        <is>
          <t>PR.AA-01</t>
        </is>
      </c>
    </row>
    <row r="16">
      <c r="A16" s="2" t="inlineStr">
        <is>
          <t>T2</t>
        </is>
      </c>
      <c r="B16" s="2" t="inlineStr">
        <is>
          <t>Technical</t>
        </is>
      </c>
      <c r="C16" s="2" t="inlineStr">
        <is>
          <t>§164.312(a)(2)(iv)</t>
        </is>
      </c>
      <c r="D16" s="2" t="inlineStr">
        <is>
          <t>Encryption at rest</t>
        </is>
      </c>
      <c r="E16" s="2" t="inlineStr">
        <is>
          <t>Storage and managed disks encrypted with platform-managed keys; no CMK or encryption-at-host</t>
        </is>
      </c>
      <c r="F16" s="5" t="inlineStr">
        <is>
          <t>Partial</t>
        </is>
      </c>
      <c r="G16" s="2" t="inlineStr">
        <is>
          <t>Storage keySource=Microsoft.Storage; VM encryptionAtHost=null</t>
        </is>
      </c>
      <c r="H16" s="2" t="inlineStr">
        <is>
          <t>PR.DS-01</t>
        </is>
      </c>
    </row>
    <row r="17">
      <c r="A17" s="2" t="inlineStr">
        <is>
          <t>T3</t>
        </is>
      </c>
      <c r="B17" s="2" t="inlineStr">
        <is>
          <t>Technical</t>
        </is>
      </c>
      <c r="C17" s="2" t="inlineStr">
        <is>
          <t>§164.312(b)</t>
        </is>
      </c>
      <c r="D17" s="2" t="inlineStr">
        <is>
          <t>Audit controls</t>
        </is>
      </c>
      <c r="E17" s="2" t="inlineStr">
        <is>
          <t>No diagnostic settings on 12 resources (ACR, ACI, NSGs, VM, VNets, storage, function)</t>
        </is>
      </c>
      <c r="F17" s="4" t="inlineStr">
        <is>
          <t>Gap</t>
        </is>
      </c>
      <c r="G17" s="2" t="inlineStr">
        <is>
          <t>Policy: 'Audit diagnostic setting' NonCompliant (12 resources)</t>
        </is>
      </c>
      <c r="H17" s="2" t="inlineStr">
        <is>
          <t>DE.CM-01, PR.PS-04</t>
        </is>
      </c>
    </row>
    <row r="18">
      <c r="A18" s="2" t="inlineStr">
        <is>
          <t>T4</t>
        </is>
      </c>
      <c r="B18" s="2" t="inlineStr">
        <is>
          <t>Technical</t>
        </is>
      </c>
      <c r="C18" s="2" t="inlineStr">
        <is>
          <t>§164.312(c)(1)</t>
        </is>
      </c>
      <c r="D18" s="2" t="inlineStr">
        <is>
          <t>Integrity</t>
        </is>
      </c>
      <c r="E18" s="2" t="inlineStr">
        <is>
          <t>Container base images pinned by digest; blob versioning on evidence storage; none on function storage</t>
        </is>
      </c>
      <c r="F18" s="5" t="inlineStr">
        <is>
          <t>Partial</t>
        </is>
      </c>
      <c r="G18" s="2" t="inlineStr">
        <is>
          <t>Infra PDF Step B2; blob service properties</t>
        </is>
      </c>
      <c r="H18" s="2" t="inlineStr">
        <is>
          <t>PR.DS-01</t>
        </is>
      </c>
    </row>
    <row r="19">
      <c r="A19" s="2" t="inlineStr">
        <is>
          <t>T5</t>
        </is>
      </c>
      <c r="B19" s="2" t="inlineStr">
        <is>
          <t>Technical</t>
        </is>
      </c>
      <c r="C19" s="2" t="inlineStr">
        <is>
          <t>§164.312(d)</t>
        </is>
      </c>
      <c r="D19" s="2" t="inlineStr">
        <is>
          <t>Person or entity authentication</t>
        </is>
      </c>
      <c r="E19" s="2" t="inlineStr">
        <is>
          <t>SSH key-only; managed identities for workloads; Entra MFA (security defaults) not verifiable via CLI</t>
        </is>
      </c>
      <c r="F19" s="5" t="inlineStr">
        <is>
          <t>Partial</t>
        </is>
      </c>
      <c r="G19" s="2" t="inlineStr">
        <is>
          <t>Infra PDF A4/C2; MFA status to confirm in portal</t>
        </is>
      </c>
      <c r="H19" s="2" t="inlineStr">
        <is>
          <t>PR.AA-03</t>
        </is>
      </c>
    </row>
    <row r="20">
      <c r="A20" s="2" t="inlineStr">
        <is>
          <t>T6</t>
        </is>
      </c>
      <c r="B20" s="2" t="inlineStr">
        <is>
          <t>Technical</t>
        </is>
      </c>
      <c r="C20" s="2" t="inlineStr">
        <is>
          <t>§164.312(e)(1)</t>
        </is>
      </c>
      <c r="D20" s="2" t="inlineStr">
        <is>
          <t>Transmission security</t>
        </is>
      </c>
      <c r="E20" s="2" t="inlineStr">
        <is>
          <t>TLS 1.2 minimum and HTTPS-only enforced by Deny policy; Keycloak lab endpoint is plain HTTP on localhost</t>
        </is>
      </c>
      <c r="F20" s="5" t="inlineStr">
        <is>
          <t>Partial</t>
        </is>
      </c>
      <c r="G20" s="2" t="inlineStr">
        <is>
          <t>Enforcement tests T6–T7</t>
        </is>
      </c>
      <c r="H20" s="2" t="inlineStr">
        <is>
          <t>PR.DS-02</t>
        </is>
      </c>
    </row>
    <row r="21">
      <c r="A21" s="2" t="inlineStr">
        <is>
          <t>H1</t>
        </is>
      </c>
      <c r="B21" s="2" t="inlineStr">
        <is>
          <t>HITRUST 01.m</t>
        </is>
      </c>
      <c r="C21" s="2" t="inlineStr">
        <is>
          <t>§164.312(e)(1)</t>
        </is>
      </c>
      <c r="D21" s="2" t="inlineStr">
        <is>
          <t>Network segregation</t>
        </is>
      </c>
      <c r="E21" s="2" t="inlineStr">
        <is>
          <t>NSGs on all workload subnets; function VNet-integrated; but evidence storage and ACR accept all networks; VM SSH open to one IP without JIT</t>
        </is>
      </c>
      <c r="F21" s="5" t="inlineStr">
        <is>
          <t>Partial</t>
        </is>
      </c>
      <c r="G21" s="2" t="inlineStr">
        <is>
          <t>Policy: storage network access, ACR service endpoint, JIT NonCompliant</t>
        </is>
      </c>
      <c r="H21" s="2" t="inlineStr">
        <is>
          <t>PR.IR-01</t>
        </is>
      </c>
    </row>
    <row r="22">
      <c r="A22" s="2" t="inlineStr">
        <is>
          <t>H2</t>
        </is>
      </c>
      <c r="B22" s="2" t="inlineStr">
        <is>
          <t>HITRUST 07.a</t>
        </is>
      </c>
      <c r="C22" s="2" t="inlineStr">
        <is>
          <t>§164.310(d)(2)(iii)</t>
        </is>
      </c>
      <c r="D22" s="2" t="inlineStr">
        <is>
          <t>Asset inventory and ownership</t>
        </is>
      </c>
      <c r="E22" s="2" t="inlineStr">
        <is>
          <t>Mandatory Owner / Environment / DataClassification tags enforced by Deny policy; all 24 assets tagged</t>
        </is>
      </c>
      <c r="F22" s="3" t="inlineStr">
        <is>
          <t>Met</t>
        </is>
      </c>
      <c r="G22" s="2" t="inlineStr">
        <is>
          <t>Tag compliance 0 → 72 compliant</t>
        </is>
      </c>
      <c r="H22" s="2" t="inlineStr">
        <is>
          <t>ID.AM-01, ID.AM-05</t>
        </is>
      </c>
    </row>
    <row r="23">
      <c r="A23" s="2" t="inlineStr">
        <is>
          <t>H3</t>
        </is>
      </c>
      <c r="B23" s="2" t="inlineStr">
        <is>
          <t>HITRUST 01.q</t>
        </is>
      </c>
      <c r="C23" s="2" t="inlineStr">
        <is>
          <t>§164.308(a)(5)(ii)(D)</t>
        </is>
      </c>
      <c r="D23" s="2" t="inlineStr">
        <is>
          <t>Credential management</t>
        </is>
      </c>
      <c r="E23" s="2" t="inlineStr">
        <is>
          <t>Container registry admin (shared) credential still enabled; older storage account allows key access</t>
        </is>
      </c>
      <c r="F23" s="4" t="inlineStr">
        <is>
          <t>Gap</t>
        </is>
      </c>
      <c r="G23" s="2" t="inlineStr">
        <is>
          <t>ACR adminUserEnabled=true; cloudsecevidencecan allowSharedKeyAccess=true</t>
        </is>
      </c>
      <c r="H23" s="2" t="inlineStr">
        <is>
          <t>PR.AA-01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70" customWidth="1" min="3" max="3"/>
    <col width="14" customWidth="1" min="4" max="4"/>
    <col width="13" customWidth="1" min="5" max="5"/>
    <col width="16" customWidth="1" min="6" max="6"/>
    <col width="16" customWidth="1" min="7" max="7"/>
  </cols>
  <sheetData>
    <row r="1">
      <c r="A1" s="1" t="inlineStr">
        <is>
          <t>Priority</t>
        </is>
      </c>
      <c r="B1" s="1" t="inlineStr">
        <is>
          <t>Gap IDs</t>
        </is>
      </c>
      <c r="C1" s="1" t="inlineStr">
        <is>
          <t>Action</t>
        </is>
      </c>
      <c r="D1" s="1" t="inlineStr">
        <is>
          <t>Owner</t>
        </is>
      </c>
      <c r="E1" s="1" t="inlineStr">
        <is>
          <t>Target</t>
        </is>
      </c>
      <c r="F1" s="1" t="inlineStr">
        <is>
          <t>Est. cost</t>
        </is>
      </c>
      <c r="G1" s="1" t="inlineStr">
        <is>
          <t>Status</t>
        </is>
      </c>
    </row>
    <row r="2">
      <c r="A2" s="2" t="inlineStr">
        <is>
          <t>P1</t>
        </is>
      </c>
      <c r="B2" s="2" t="inlineStr">
        <is>
          <t>H2</t>
        </is>
      </c>
      <c r="C2" s="2" t="inlineStr">
        <is>
          <t>Tag all existing resources and resource groups to the CAN tagging standard</t>
        </is>
      </c>
      <c r="D2" s="2" t="inlineStr">
        <is>
          <t>Cloud admin</t>
        </is>
      </c>
      <c r="E2" s="2" t="inlineStr">
        <is>
          <t>2026-10-08</t>
        </is>
      </c>
      <c r="F2" s="2" t="inlineStr">
        <is>
          <t>$0</t>
        </is>
      </c>
      <c r="G2" s="3" t="inlineStr">
        <is>
          <t>Done</t>
        </is>
      </c>
    </row>
    <row r="3">
      <c r="A3" s="2" t="inlineStr">
        <is>
          <t>P1</t>
        </is>
      </c>
      <c r="B3" s="2" t="inlineStr">
        <is>
          <t>A5</t>
        </is>
      </c>
      <c r="C3" s="2" t="inlineStr">
        <is>
          <t>Create a dedicated member admin account (not a guest), grant it Owner, and use it for administration; keep the personal account as break-glass</t>
        </is>
      </c>
      <c r="D3" s="2" t="inlineStr">
        <is>
          <t>Cloud admin</t>
        </is>
      </c>
      <c r="E3" s="2" t="inlineStr">
        <is>
          <t>2026-10-12</t>
        </is>
      </c>
      <c r="F3" s="2" t="inlineStr">
        <is>
          <t>$0</t>
        </is>
      </c>
      <c r="G3" s="2" t="inlineStr">
        <is>
          <t>Planned</t>
        </is>
      </c>
    </row>
    <row r="4">
      <c r="A4" s="2" t="inlineStr">
        <is>
          <t>P1</t>
        </is>
      </c>
      <c r="B4" s="2" t="inlineStr">
        <is>
          <t>T5</t>
        </is>
      </c>
      <c r="C4" s="2" t="inlineStr">
        <is>
          <t>Confirm Entra Security Defaults (MFA for all users) is enabled; enable if not</t>
        </is>
      </c>
      <c r="D4" s="2" t="inlineStr">
        <is>
          <t>Cloud admin</t>
        </is>
      </c>
      <c r="E4" s="2" t="inlineStr">
        <is>
          <t>2026-10-12</t>
        </is>
      </c>
      <c r="F4" s="2" t="inlineStr">
        <is>
          <t>$0</t>
        </is>
      </c>
      <c r="G4" s="2" t="inlineStr">
        <is>
          <t>Planned</t>
        </is>
      </c>
    </row>
    <row r="5">
      <c r="A5" s="2" t="inlineStr">
        <is>
          <t>P1</t>
        </is>
      </c>
      <c r="B5" s="2" t="inlineStr">
        <is>
          <t>H3</t>
        </is>
      </c>
      <c r="C5" s="2" t="inlineStr">
        <is>
          <t>Recreate aci-app-test with a managed identity + AcrPull, then disable the ACR admin user; disable shared-key access on cloudsecevidencecan</t>
        </is>
      </c>
      <c r="D5" s="2" t="inlineStr">
        <is>
          <t>Cloud admin</t>
        </is>
      </c>
      <c r="E5" s="2" t="inlineStr">
        <is>
          <t>2026-10-15</t>
        </is>
      </c>
      <c r="F5" s="2" t="inlineStr">
        <is>
          <t>$0</t>
        </is>
      </c>
      <c r="G5" s="2" t="inlineStr">
        <is>
          <t>Planned</t>
        </is>
      </c>
    </row>
    <row r="6">
      <c r="A6" s="2" t="inlineStr">
        <is>
          <t>P1</t>
        </is>
      </c>
      <c r="B6" s="2" t="inlineStr">
        <is>
          <t>H1</t>
        </is>
      </c>
      <c r="C6" s="2" t="inlineStr">
        <is>
          <t>Restrict cloudsecevidencecan to selected networks; remove unused AzureBastionSubnet</t>
        </is>
      </c>
      <c r="D6" s="2" t="inlineStr">
        <is>
          <t>Cloud admin</t>
        </is>
      </c>
      <c r="E6" s="2" t="inlineStr">
        <is>
          <t>2026-10-15</t>
        </is>
      </c>
      <c r="F6" s="2" t="inlineStr">
        <is>
          <t>$0</t>
        </is>
      </c>
      <c r="G6" s="2" t="inlineStr">
        <is>
          <t>Planned</t>
        </is>
      </c>
    </row>
    <row r="7">
      <c r="A7" s="2" t="inlineStr">
        <is>
          <t>P2</t>
        </is>
      </c>
      <c r="B7" s="2" t="inlineStr">
        <is>
          <t>A3, T3</t>
        </is>
      </c>
      <c r="C7" s="2" t="inlineStr">
        <is>
          <t>Export Activity Log and resource diagnostic logs to the Log Analytics workspace; create activity-log alerts for policy, NSG and role-assignment changes</t>
        </is>
      </c>
      <c r="D7" s="2" t="inlineStr">
        <is>
          <t>SecOps</t>
        </is>
      </c>
      <c r="E7" s="2" t="inlineStr">
        <is>
          <t>Criterion 6</t>
        </is>
      </c>
      <c r="F7" s="2" t="inlineStr">
        <is>
          <t>~$0 (5 GB free)</t>
        </is>
      </c>
      <c r="G7" s="2" t="inlineStr">
        <is>
          <t>Planned</t>
        </is>
      </c>
    </row>
    <row r="8">
      <c r="A8" s="2" t="inlineStr">
        <is>
          <t>P2</t>
        </is>
      </c>
      <c r="B8" s="2" t="inlineStr">
        <is>
          <t>A8</t>
        </is>
      </c>
      <c r="C8" s="2" t="inlineStr">
        <is>
          <t>Write and test the cloud incident-response playbook</t>
        </is>
      </c>
      <c r="D8" s="2" t="inlineStr">
        <is>
          <t>SecOps</t>
        </is>
      </c>
      <c r="E8" s="2" t="inlineStr">
        <is>
          <t>Criterion 6</t>
        </is>
      </c>
      <c r="F8" s="2" t="inlineStr">
        <is>
          <t>$0</t>
        </is>
      </c>
      <c r="G8" s="2" t="inlineStr">
        <is>
          <t>Planned</t>
        </is>
      </c>
    </row>
    <row r="9">
      <c r="A9" s="2" t="inlineStr">
        <is>
          <t>P2</t>
        </is>
      </c>
      <c r="B9" s="2" t="inlineStr">
        <is>
          <t>A7</t>
        </is>
      </c>
      <c r="C9" s="2" t="inlineStr">
        <is>
          <t>Stream Entra sign-in logs to Log Analytics for longer retention (requires P1 licence or diagnostic export)</t>
        </is>
      </c>
      <c r="D9" s="2" t="inlineStr">
        <is>
          <t>SecOps</t>
        </is>
      </c>
      <c r="E9" s="2" t="inlineStr">
        <is>
          <t>Criterion 6</t>
        </is>
      </c>
      <c r="F9" s="2" t="inlineStr">
        <is>
          <t>$0–licence</t>
        </is>
      </c>
      <c r="G9" s="2" t="inlineStr">
        <is>
          <t>Planned</t>
        </is>
      </c>
    </row>
    <row r="10">
      <c r="A10" s="2" t="inlineStr">
        <is>
          <t>P3</t>
        </is>
      </c>
      <c r="B10" s="2" t="inlineStr">
        <is>
          <t>A9, A10</t>
        </is>
      </c>
      <c r="C10" s="2" t="inlineStr">
        <is>
          <t>Delete the temporary VM (removes the unbacked-up asset); for any production VM, enable Azure Backup (daily, 30-day retention)</t>
        </is>
      </c>
      <c r="D10" s="2" t="inlineStr">
        <is>
          <t>Cloud admin</t>
        </is>
      </c>
      <c r="E10" s="2" t="inlineStr">
        <is>
          <t>2026-10-15</t>
        </is>
      </c>
      <c r="F10" s="2" t="inlineStr">
        <is>
          <t>~$5/month per VM</t>
        </is>
      </c>
      <c r="G10" s="2" t="inlineStr">
        <is>
          <t>Planned</t>
        </is>
      </c>
    </row>
    <row r="11">
      <c r="A11" s="2" t="inlineStr">
        <is>
          <t>P3</t>
        </is>
      </c>
      <c r="B11" s="2" t="inlineStr">
        <is>
          <t>A6</t>
        </is>
      </c>
      <c r="C11" s="2" t="inlineStr">
        <is>
          <t>Enable a VM vulnerability scanner (Defender for Servers P1 trial) for production hosts</t>
        </is>
      </c>
      <c r="D11" s="2" t="inlineStr">
        <is>
          <t>SecOps</t>
        </is>
      </c>
      <c r="E11" s="2" t="inlineStr">
        <is>
          <t>Production</t>
        </is>
      </c>
      <c r="F11" s="2" t="inlineStr">
        <is>
          <t>~$5/server/month</t>
        </is>
      </c>
      <c r="G11" s="2" t="inlineStr">
        <is>
          <t>Deferred (cost)</t>
        </is>
      </c>
    </row>
    <row r="12">
      <c r="A12" s="2" t="inlineStr">
        <is>
          <t>P3</t>
        </is>
      </c>
      <c r="B12" s="2" t="inlineStr">
        <is>
          <t>T2</t>
        </is>
      </c>
      <c r="C12" s="2" t="inlineStr">
        <is>
          <t>Customer-managed keys (Key Vault) and encryption-at-host for PHI stores</t>
        </is>
      </c>
      <c r="D12" s="2" t="inlineStr">
        <is>
          <t>Cloud admin</t>
        </is>
      </c>
      <c r="E12" s="2" t="inlineStr">
        <is>
          <t>Production</t>
        </is>
      </c>
      <c r="F12" s="2" t="inlineStr">
        <is>
          <t>~$1–5/month</t>
        </is>
      </c>
      <c r="G12" s="2" t="inlineStr">
        <is>
          <t>Deferred (cost)</t>
        </is>
      </c>
    </row>
    <row r="13">
      <c r="A13" s="2" t="inlineStr">
        <is>
          <t>P3</t>
        </is>
      </c>
      <c r="B13" s="2" t="inlineStr">
        <is>
          <t>T6</t>
        </is>
      </c>
      <c r="C13" s="2" t="inlineStr">
        <is>
          <t>Serve Keycloak over HTTPS with a trusted certificate behind a reverse proxy</t>
        </is>
      </c>
      <c r="D13" s="2" t="inlineStr">
        <is>
          <t>App team</t>
        </is>
      </c>
      <c r="E13" s="2" t="inlineStr">
        <is>
          <t>Production</t>
        </is>
      </c>
      <c r="F13" s="2" t="inlineStr">
        <is>
          <t>$0</t>
        </is>
      </c>
      <c r="G13" s="2" t="inlineStr">
        <is>
          <t>Deferred</t>
        </is>
      </c>
    </row>
    <row r="14">
      <c r="A14" s="2" t="inlineStr">
        <is>
          <t>P3</t>
        </is>
      </c>
      <c r="B14" s="2" t="inlineStr">
        <is>
          <t>T4</t>
        </is>
      </c>
      <c r="C14" s="2" t="inlineStr">
        <is>
          <t>Enable blob soft-delete and versioning on stcanfunc9a8c964b</t>
        </is>
      </c>
      <c r="D14" s="2" t="inlineStr">
        <is>
          <t>Cloud admin</t>
        </is>
      </c>
      <c r="E14" s="2" t="inlineStr">
        <is>
          <t>2026-10-15</t>
        </is>
      </c>
      <c r="F14" s="2" t="inlineStr">
        <is>
          <t>&lt;$0.01/month</t>
        </is>
      </c>
      <c r="G14" s="2" t="inlineStr">
        <is>
          <t>Planned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45" customWidth="1" min="3" max="3"/>
    <col width="45" customWidth="1" min="4" max="4"/>
  </cols>
  <sheetData>
    <row r="1">
      <c r="A1" s="1" t="inlineStr">
        <is>
          <t>Reference ID</t>
        </is>
      </c>
      <c r="B1" s="1" t="inlineStr">
        <is>
          <t>Built-in policy</t>
        </is>
      </c>
      <c r="C1" s="1" t="inlineStr">
        <is>
          <t>Parameter</t>
        </is>
      </c>
      <c r="D1" s="1" t="inlineStr">
        <is>
          <t>Purpose</t>
        </is>
      </c>
    </row>
    <row r="2">
      <c r="A2" s="2" t="inlineStr">
        <is>
          <t>allowed-locations</t>
        </is>
      </c>
      <c r="B2" s="2" t="inlineStr">
        <is>
          <t>Allowed locations</t>
        </is>
      </c>
      <c r="C2" s="2" t="inlineStr">
        <is>
          <t>eastus, northcentralus</t>
        </is>
      </c>
      <c r="D2" s="2" t="inlineStr">
        <is>
          <t>Data residency in approved US regions; limits sprawl</t>
        </is>
      </c>
    </row>
    <row r="3">
      <c r="A3" s="2" t="inlineStr">
        <is>
          <t>allowed-rg-locations</t>
        </is>
      </c>
      <c r="B3" s="2" t="inlineStr">
        <is>
          <t>Allowed locations for resource groups</t>
        </is>
      </c>
      <c r="C3" s="2" t="inlineStr">
        <is>
          <t>eastus, northcentralus</t>
        </is>
      </c>
      <c r="D3" s="2" t="inlineStr">
        <is>
          <t>Resource-group metadata stays in approved regions</t>
        </is>
      </c>
    </row>
    <row r="4">
      <c r="A4" s="2" t="inlineStr">
        <is>
          <t>denied-resource-types</t>
        </is>
      </c>
      <c r="B4" s="2" t="inlineStr">
        <is>
          <t>Not allowed resource types</t>
        </is>
      </c>
      <c r="C4" s="2" t="inlineStr">
        <is>
          <t>bastionHosts, azureFirewalls, applicationGateways, expressRouteCircuits, managedClusters (AKS)</t>
        </is>
      </c>
      <c r="D4" s="2" t="inlineStr">
        <is>
          <t>Blocks high-cost services without approval (cost governance)</t>
        </is>
      </c>
    </row>
    <row r="5">
      <c r="A5" s="2" t="inlineStr">
        <is>
          <t>allowed-vm-skus</t>
        </is>
      </c>
      <c r="B5" s="2" t="inlineStr">
        <is>
          <t>Allowed virtual machine size SKUs</t>
        </is>
      </c>
      <c r="C5" s="2" t="inlineStr">
        <is>
          <t>B1s, B1ms, B2s, B2ats_v2, F1als_v7, F1as_v7</t>
        </is>
      </c>
      <c r="D5" s="2" t="inlineStr">
        <is>
          <t>Only small, approved VM sizes</t>
        </is>
      </c>
    </row>
    <row r="6">
      <c r="A6" s="2" t="inlineStr">
        <is>
          <t>storage-no-public-access</t>
        </is>
      </c>
      <c r="B6" s="2" t="inlineStr">
        <is>
          <t>Storage account public access should be disallowed</t>
        </is>
      </c>
      <c r="C6" s="2" t="inlineStr">
        <is>
          <t>Deny</t>
        </is>
      </c>
      <c r="D6" s="2" t="inlineStr">
        <is>
          <t>No anonymous blob access to PHI</t>
        </is>
      </c>
    </row>
    <row r="7">
      <c r="A7" s="2" t="inlineStr">
        <is>
          <t>storage-secure-transfer</t>
        </is>
      </c>
      <c r="B7" s="2" t="inlineStr">
        <is>
          <t>Secure transfer to storage accounts should be enabled</t>
        </is>
      </c>
      <c r="C7" s="2" t="inlineStr">
        <is>
          <t>Deny</t>
        </is>
      </c>
      <c r="D7" s="2" t="inlineStr">
        <is>
          <t>HTTPS only for data in transit</t>
        </is>
      </c>
    </row>
    <row r="8">
      <c r="A8" s="2" t="inlineStr">
        <is>
          <t>storage-min-tls12</t>
        </is>
      </c>
      <c r="B8" s="2" t="inlineStr">
        <is>
          <t>Storage accounts should have the specified minimum TLS version</t>
        </is>
      </c>
      <c r="C8" s="2" t="inlineStr">
        <is>
          <t>Deny, TLS1_2</t>
        </is>
      </c>
      <c r="D8" s="2" t="inlineStr">
        <is>
          <t>Blocks legacy TLS 1.0/1.1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40" customWidth="1" min="3" max="3"/>
  </cols>
  <sheetData>
    <row r="1">
      <c r="A1" s="1" t="inlineStr">
        <is>
          <t>Tag</t>
        </is>
      </c>
      <c r="B1" s="1" t="inlineStr">
        <is>
          <t>Purpose</t>
        </is>
      </c>
      <c r="C1" s="1" t="inlineStr">
        <is>
          <t>Values</t>
        </is>
      </c>
    </row>
    <row r="2">
      <c r="A2" s="2" t="inlineStr">
        <is>
          <t>Owner</t>
        </is>
      </c>
      <c r="B2" s="2" t="inlineStr">
        <is>
          <t>Accountable person (email-style alias)</t>
        </is>
      </c>
      <c r="C2" s="2" t="inlineStr">
        <is>
          <t>akhila.chennamaneni</t>
        </is>
      </c>
    </row>
    <row r="3">
      <c r="A3" s="2" t="inlineStr">
        <is>
          <t>Environment</t>
        </is>
      </c>
      <c r="B3" s="2" t="inlineStr">
        <is>
          <t>Lifecycle stage; drives guardrail strictness</t>
        </is>
      </c>
      <c r="C3" s="2" t="inlineStr">
        <is>
          <t>Lab | Dev | Test | Prod</t>
        </is>
      </c>
    </row>
    <row r="4">
      <c r="A4" s="2" t="inlineStr">
        <is>
          <t>DataClassification</t>
        </is>
      </c>
      <c r="B4" s="2" t="inlineStr">
        <is>
          <t>Highest sensitivity of data the resource can hold</t>
        </is>
      </c>
      <c r="C4" s="2" t="inlineStr">
        <is>
          <t>Public | Internal | Confidential | PHI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Met</t>
        </is>
      </c>
      <c r="B2">
        <f>COUNTIF('HIPAA Checklist'!F:F,"Met")</f>
        <v/>
      </c>
    </row>
    <row r="3">
      <c r="A3" t="inlineStr">
        <is>
          <t>Partial</t>
        </is>
      </c>
      <c r="B3">
        <f>COUNTIF('HIPAA Checklist'!F:F,"Partial")</f>
        <v/>
      </c>
    </row>
    <row r="4">
      <c r="A4" t="inlineStr">
        <is>
          <t>Gap</t>
        </is>
      </c>
      <c r="B4">
        <f>COUNTIF('HIPAA Checklist'!F:F,"Gap")</f>
        <v/>
      </c>
    </row>
    <row r="5">
      <c r="A5" t="inlineStr">
        <is>
          <t>Total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2026-10-08T20:34:47Z</dcterms:created>
  <dcterms:modified xsi:type="dcterms:W3CDTF">2026-10-08T20:34:47Z</dcterms:modified>
</cp:coreProperties>
</file>