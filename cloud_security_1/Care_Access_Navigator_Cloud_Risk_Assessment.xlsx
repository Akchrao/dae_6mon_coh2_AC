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oud Risk Assess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<sst xmlns="http://schemas.openxmlformats.org/spreadsheetml/2006/main" count="44" uniqueCount="37">
  <si>
    <t xml:space="preserve">Care Access Navigator — Cloud Security 1 Criterion 1: Five-Risk NIST-Style Cloud Risk Assessment</t>
  </si>
  <si>
    <t xml:space="preserve">Prepared 09/16/2026  |  Same column structure as the capstone's existing risk register, so these rows append directly</t>
  </si>
  <si>
    <t xml:space="preserve">Legend: Likelihood and Impact are scored 1 (Low) – 3 (High). Risk Score = Likelihood × Impact. Rating auto-calculates: 1–2 Low, 3–4 Medium, 6–9 High.</t>
  </si>
  <si>
    <t xml:space="preserve">Risk ID</t>
  </si>
  <si>
    <t xml:space="preserve">Risk Description</t>
  </si>
  <si>
    <t xml:space="preserve">Category</t>
  </si>
  <si>
    <t xml:space="preserve">Likelihood (1-3)</t>
  </si>
  <si>
    <t xml:space="preserve">Impact (1-3)</t>
  </si>
  <si>
    <t xml:space="preserve">Risk Score</t>
  </si>
  <si>
    <t xml:space="preserve">Inherent Risk Rating</t>
  </si>
  <si>
    <t xml:space="preserve">Mitigation / Control</t>
  </si>
  <si>
    <t xml:space="preserve">Risk Owner</t>
  </si>
  <si>
    <t xml:space="preserve">Status</t>
  </si>
  <si>
    <t xml:space="preserve">CR-01</t>
  </si>
  <si>
    <t xml:space="preserve">Storage account/container misconfigured to allow public read access</t>
  </si>
  <si>
    <t xml:space="preserve">Data Exposure</t>
  </si>
  <si>
    <t xml:space="preserve">Block Public Access enforced on cloudsec1-evidence; Azure Policy alert if a container's anonymous access level changes</t>
  </si>
  <si>
    <t xml:space="preserve">Akhila Chennamaneni</t>
  </si>
  <si>
    <t xml:space="preserve">Mitigated (configured 09/14/2026)</t>
  </si>
  <si>
    <t xml:space="preserve">CR-02</t>
  </si>
  <si>
    <t xml:space="preserve">Over-permissive Entra ID / IAM role assignment grants broader access than a role requires</t>
  </si>
  <si>
    <t xml:space="preserve">Access Control</t>
  </si>
  <si>
    <t xml:space="preserve">Least-privilege custom policies per RBAC role; periodic access review (ties to capstone Week 4)</t>
  </si>
  <si>
    <t xml:space="preserve">Planned</t>
  </si>
  <si>
    <t xml:space="preserve">CR-03</t>
  </si>
  <si>
    <t xml:space="preserve">Unpatched Azure VM hosting the EHR Simulator/Patient Portal stand-in</t>
  </si>
  <si>
    <t xml:space="preserve">Infrastructure</t>
  </si>
  <si>
    <t xml:space="preserve">Enable automated patching (Azure Update Manager); host firewall in addition to NSG</t>
  </si>
  <si>
    <t xml:space="preserve">CR-04</t>
  </si>
  <si>
    <t xml:space="preserve">Vulnerable base image used in the containerized EHR Simulator/Patient Portal app</t>
  </si>
  <si>
    <t xml:space="preserve">Application Security</t>
  </si>
  <si>
    <t xml:space="preserve">Trivy scan before deploy; pinned, minimal base image versions</t>
  </si>
  <si>
    <t xml:space="preserve">CR-05</t>
  </si>
  <si>
    <t xml:space="preserve">Entra ID user/service account without MFA enabled</t>
  </si>
  <si>
    <t xml:space="preserve">Identity</t>
  </si>
  <si>
    <t xml:space="preserve">MFA enforced via Conditional Access policy on all accounts in the tenant</t>
  </si>
  <si>
    <t xml:space="preserve">Evidence on file: screenshots supporting CR-01 (Block Public Access), CR-05 (Conditional Access MFA policy); CR-02–CR-04 close out as Criteria 2–4 of this rubric are completed.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</si>
</sst>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1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AF1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42"/>
    <col collapsed="false" customWidth="true" hidden="false" outlineLevel="0" max="9" min="9" style="0" width="18"/>
    <col collapsed="false" customWidth="true" hidden="false" outlineLevel="0" max="10" min="10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23.85" hidden="false" customHeight="false" outlineLevel="0" collapsed="false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</row>
    <row r="7" customFormat="false" ht="43.5" hidden="false" customHeight="true" outlineLevel="0" collapsed="false">
      <c r="A7" s="4" t="s">
        <v>13</v>
      </c>
      <c r="B7" s="4" t="s">
        <v>14</v>
      </c>
      <c r="C7" s="4" t="s">
        <v>15</v>
      </c>
      <c r="D7" s="4" t="n">
        <v>1</v>
      </c>
      <c r="E7" s="4" t="n">
        <v>3</v>
      </c>
      <c r="F7" s="5" t="n">
        <f aca="false">D7*E7</f>
        <v>3</v>
      </c>
      <c r="G7" s="6" t="str">
        <f aca="false">IF(F7&gt;=6,"High",IF(F7&gt;=3,"Medium","Low"))</f>
        <v>Medium</v>
      </c>
      <c r="H7" s="4" t="s">
        <v>16</v>
      </c>
      <c r="I7" s="4" t="s">
        <v>17</v>
      </c>
      <c r="J7" s="4" t="s">
        <v>18</v>
      </c>
    </row>
    <row r="8" customFormat="false" ht="43.5" hidden="false" customHeight="true" outlineLevel="0" collapsed="false">
      <c r="A8" s="7" t="s">
        <v>19</v>
      </c>
      <c r="B8" s="7" t="s">
        <v>20</v>
      </c>
      <c r="C8" s="7" t="s">
        <v>21</v>
      </c>
      <c r="D8" s="7" t="n">
        <v>2</v>
      </c>
      <c r="E8" s="7" t="n">
        <v>3</v>
      </c>
      <c r="F8" s="8" t="n">
        <f aca="false">D8*E8</f>
        <v>6</v>
      </c>
      <c r="G8" s="9" t="str">
        <f aca="false">IF(F8&gt;=6,"High",IF(F8&gt;=3,"Medium","Low"))</f>
        <v>High</v>
      </c>
      <c r="H8" s="7" t="s">
        <v>22</v>
      </c>
      <c r="I8" s="7" t="s">
        <v>17</v>
      </c>
      <c r="J8" s="7" t="s">
        <v>23</v>
      </c>
    </row>
    <row r="9" customFormat="false" ht="43.5" hidden="false" customHeight="true" outlineLevel="0" collapsed="false">
      <c r="A9" s="4" t="s">
        <v>24</v>
      </c>
      <c r="B9" s="4" t="s">
        <v>25</v>
      </c>
      <c r="C9" s="4" t="s">
        <v>26</v>
      </c>
      <c r="D9" s="4" t="n">
        <v>2</v>
      </c>
      <c r="E9" s="4" t="n">
        <v>2</v>
      </c>
      <c r="F9" s="5" t="n">
        <f aca="false">D9*E9</f>
        <v>4</v>
      </c>
      <c r="G9" s="6" t="str">
        <f aca="false">IF(F9&gt;=6,"High",IF(F9&gt;=3,"Medium","Low"))</f>
        <v>Medium</v>
      </c>
      <c r="H9" s="4" t="s">
        <v>27</v>
      </c>
      <c r="I9" s="4" t="s">
        <v>17</v>
      </c>
      <c r="J9" s="4" t="s">
        <v>23</v>
      </c>
    </row>
    <row r="10" customFormat="false" ht="43.5" hidden="false" customHeight="true" outlineLevel="0" collapsed="false">
      <c r="A10" s="7" t="s">
        <v>28</v>
      </c>
      <c r="B10" s="7" t="s">
        <v>29</v>
      </c>
      <c r="C10" s="7" t="s">
        <v>30</v>
      </c>
      <c r="D10" s="7" t="n">
        <v>2</v>
      </c>
      <c r="E10" s="7" t="n">
        <v>2</v>
      </c>
      <c r="F10" s="8" t="n">
        <f aca="false">D10*E10</f>
        <v>4</v>
      </c>
      <c r="G10" s="9" t="str">
        <f aca="false">IF(F10&gt;=6,"High",IF(F10&gt;=3,"Medium","Low"))</f>
        <v>Medium</v>
      </c>
      <c r="H10" s="7" t="s">
        <v>31</v>
      </c>
      <c r="I10" s="7" t="s">
        <v>17</v>
      </c>
      <c r="J10" s="7" t="s">
        <v>23</v>
      </c>
    </row>
    <row r="11" customFormat="false" ht="43.5" hidden="false" customHeight="true" outlineLevel="0" collapsed="false">
      <c r="A11" s="4" t="s">
        <v>32</v>
      </c>
      <c r="B11" s="4" t="s">
        <v>33</v>
      </c>
      <c r="C11" s="4" t="s">
        <v>34</v>
      </c>
      <c r="D11" s="4" t="n">
        <v>2</v>
      </c>
      <c r="E11" s="4" t="n">
        <v>3</v>
      </c>
      <c r="F11" s="5" t="n">
        <f aca="false">D11*E11</f>
        <v>6</v>
      </c>
      <c r="G11" s="6" t="str">
        <f aca="false">IF(F11&gt;=6,"High",IF(F11&gt;=3,"Medium","Low"))</f>
        <v>High</v>
      </c>
      <c r="H11" s="4" t="s">
        <v>35</v>
      </c>
      <c r="I11" s="4" t="s">
        <v>17</v>
      </c>
      <c r="J11" s="4" t="s">
        <v>23</v>
      </c>
    </row>
    <row r="13" customFormat="false" ht="27.75" hidden="false" customHeight="true" outlineLevel="0" collapsed="false">
      <c r="A13" s="10" t="s">
        <v>36</v>
      </c>
      <c r="B13" s="10"/>
      <c r="C13" s="10"/>
      <c r="D13" s="10"/>
      <c r="E13" s="10"/>
      <c r="F13" s="10"/>
      <c r="G13" s="10"/>
      <c r="H13" s="10"/>
      <c r="I13" s="10"/>
      <c r="J13" s="10"/>
    </row>
  </sheetData>
  <mergeCells count="4">
    <mergeCell ref="A1:J1"/>
    <mergeCell ref="A2:J2"/>
    <mergeCell ref="A4:J4"/>
    <mergeCell ref="A13:J13"/>
  </mergeCells>
  <conditionalFormatting sqref="G7:G11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dataValidations count="2">
    <dataValidation allowBlank="false" errorStyle="stop" operator="between" showDropDown="false" showErrorMessage="false" showInputMessage="false" sqref="D7:E11" type="whole">
      <formula1>1</formula1>
      <formula2>3</formula2>
    </dataValidation>
    <dataValidation allowBlank="false" errorStyle="stop" operator="between" showDropDown="false" showErrorMessage="false" showInputMessage="false" sqref="J7:J11" type="list">
      <formula1>"Planned,In Progress,Mitigated,Accepted,Open"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2026-09-16T15:41:02Z</dcterms:created>
  <dc:creator>openpyxl</dc:creator>
  <dc:description/>
  <dc:language>en-US</dc:language>
  <cp:lastModifiedBy/>
  <dcterms:modified xsi:type="dcterms:W3CDTF">2026-09-16T15:41:02Z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