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KPI Monitor" sheetId="2" state="visible" r:id="rId2"/>
    <sheet name="Remediation" sheetId="3" state="visible" r:id="rId3"/>
    <sheet name="Evidence Register" sheetId="4" state="visible" r:id="rId4"/>
    <sheet name="Retention Schedule" sheetId="5" state="visible" r:id="rId5"/>
    <sheet name="Document Regist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B2A4A"/>
      <sz val="14"/>
    </font>
    <font>
      <i val="1"/>
      <color rgb="00555555"/>
    </font>
    <font>
      <b val="1"/>
      <color rgb="001B2A4A"/>
      <sz val="12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D9F2E3"/>
        </patternFill>
      </fill>
    </dxf>
    <dxf>
      <fill>
        <patternFill patternType="solid">
          <fgColor rgb="00FFF0D1"/>
        </patternFill>
      </fill>
    </dxf>
    <dxf>
      <fill>
        <patternFill patternType="solid">
          <fgColor rgb="00F8D7D3"/>
        </patternFill>
      </fill>
    </dxf>
    <dxf>
      <fill>
        <patternFill patternType="solid">
          <fgColor rgb="00E5E7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KPI current vs target (%)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'Dashboard'!E4</f>
            </strRef>
          </tx>
          <spPr>
            <a:ln>
              <a:prstDash val="solid"/>
            </a:ln>
          </spPr>
          <cat>
            <numRef>
              <f>'Dashboard'!$D$5:$D$11</f>
            </numRef>
          </cat>
          <val>
            <numRef>
              <f>'Dashboard'!$E$5:$E$11</f>
            </numRef>
          </val>
        </ser>
        <ser>
          <idx val="1"/>
          <order val="1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'Dashboard'!$D$5:$D$11</f>
            </numRef>
          </cat>
          <val>
            <numRef>
              <f>'Dashboard'!$F$5:$F$11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38" customWidth="1" min="4" max="4"/>
  </cols>
  <sheetData>
    <row r="1">
      <c r="A1" s="1" t="inlineStr">
        <is>
          <t>Care Access Navigator — Compliance Monitoring Dashboard</t>
        </is>
      </c>
    </row>
    <row r="2">
      <c r="A2" s="2" t="inlineStr">
        <is>
          <t xml:space="preserve">Live formulas: statuses recalculate from the KPI Monitor and Remediation sheets (update 'Current' </t>
        </is>
      </c>
    </row>
    <row r="3">
      <c r="A3" s="2" t="inlineStr">
        <is>
          <t>and '% complete' values). Last data refresh: 2026-10-13.</t>
        </is>
      </c>
    </row>
    <row r="4">
      <c r="D4" s="3" t="inlineStr">
        <is>
          <t>KPI (percent)</t>
        </is>
      </c>
      <c r="E4" s="3" t="inlineStr">
        <is>
          <t>Current</t>
        </is>
      </c>
      <c r="F4" s="3" t="inlineStr">
        <is>
          <t>Target</t>
        </is>
      </c>
    </row>
    <row r="5">
      <c r="A5" s="3" t="inlineStr">
        <is>
          <t>KPIs Green</t>
        </is>
      </c>
      <c r="B5" s="4">
        <f>COUNTIF('KPI Monitor'!H2:H12,"Green")</f>
        <v/>
      </c>
      <c r="D5" t="inlineStr">
        <is>
          <t>K-01 Asset tagging compliance</t>
        </is>
      </c>
      <c r="E5">
        <f>'KPI Monitor'!F2</f>
        <v/>
      </c>
      <c r="F5" t="n">
        <v>100</v>
      </c>
    </row>
    <row r="6">
      <c r="A6" s="3" t="inlineStr">
        <is>
          <t>KPIs Amber</t>
        </is>
      </c>
      <c r="B6" s="4">
        <f>COUNTIF('KPI Monitor'!H2:H12,"Amber")</f>
        <v/>
      </c>
      <c r="D6" t="inlineStr">
        <is>
          <t>K-02 Guardrail policy compliance</t>
        </is>
      </c>
      <c r="E6">
        <f>'KPI Monitor'!F3</f>
        <v/>
      </c>
      <c r="F6" t="n">
        <v>100</v>
      </c>
    </row>
    <row r="7">
      <c r="A7" s="3" t="inlineStr">
        <is>
          <t>KPIs Red</t>
        </is>
      </c>
      <c r="B7" s="4">
        <f>COUNTIF('KPI Monitor'!H2:H12,"Red")</f>
        <v/>
      </c>
      <c r="D7" t="inlineStr">
        <is>
          <t>K-03 Least-privilege accounts</t>
        </is>
      </c>
      <c r="E7">
        <f>'KPI Monitor'!F4</f>
        <v/>
      </c>
      <c r="F7" t="n">
        <v>100</v>
      </c>
    </row>
    <row r="8">
      <c r="A8" s="3" t="inlineStr">
        <is>
          <t>Open findings</t>
        </is>
      </c>
      <c r="B8" s="4">
        <f>COUNTIF(Remediation!H2:H7,"&lt;&gt;Closed")</f>
        <v/>
      </c>
      <c r="D8" t="inlineStr">
        <is>
          <t>K-04 MFA coverage (privileged + CDE)</t>
        </is>
      </c>
      <c r="E8">
        <f>'KPI Monitor'!F5</f>
        <v/>
      </c>
      <c r="F8" t="n">
        <v>100</v>
      </c>
    </row>
    <row r="9">
      <c r="A9" s="3" t="inlineStr">
        <is>
          <t>Open High findings</t>
        </is>
      </c>
      <c r="B9" s="4">
        <f>COUNTIFS(Remediation!C2:C7,"High",Remediation!H2:H7,"&lt;&gt;Closed")</f>
        <v/>
      </c>
      <c r="D9" t="inlineStr">
        <is>
          <t>K-05 Security alert rules enabled</t>
        </is>
      </c>
      <c r="E9">
        <f>'KPI Monitor'!F6</f>
        <v/>
      </c>
      <c r="F9" t="n">
        <v>100</v>
      </c>
    </row>
    <row r="10">
      <c r="A10" s="3" t="inlineStr">
        <is>
          <t>Findings overdue (Red)</t>
        </is>
      </c>
      <c r="B10" s="4">
        <f>COUNTIF(Remediation!H2:H7,"Red")</f>
        <v/>
      </c>
      <c r="D10" t="inlineStr">
        <is>
          <t>K-06 Log retention vs requirement</t>
        </is>
      </c>
      <c r="E10">
        <f>'KPI Monitor'!F7</f>
        <v/>
      </c>
      <c r="F10" t="n">
        <v>100</v>
      </c>
    </row>
    <row r="11">
      <c r="D11" t="inlineStr">
        <is>
          <t>K-07 Audit test pass rate</t>
        </is>
      </c>
      <c r="E11">
        <f>'KPI Monitor'!F8</f>
        <v/>
      </c>
      <c r="F11" t="n">
        <v>90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40" customWidth="1" min="3" max="3"/>
    <col width="9" customWidth="1" min="4" max="4"/>
    <col width="10" customWidth="1" min="5" max="5"/>
    <col width="10" customWidth="1" min="6" max="6"/>
    <col width="7" customWidth="1" min="7" max="7"/>
    <col width="11" customWidth="1" min="8" max="8"/>
    <col width="20" customWidth="1" min="9" max="9"/>
    <col width="16" customWidth="1" min="10" max="10"/>
    <col width="16" customWidth="1" min="11" max="11"/>
    <col width="30" customWidth="1" min="12" max="12"/>
  </cols>
  <sheetData>
    <row r="1">
      <c r="A1" s="5" t="inlineStr">
        <is>
          <t>ID</t>
        </is>
      </c>
      <c r="B1" s="5" t="inlineStr">
        <is>
          <t>KPI</t>
        </is>
      </c>
      <c r="C1" s="5" t="inlineStr">
        <is>
          <t>Definition / formula</t>
        </is>
      </c>
      <c r="D1" s="5" t="inlineStr">
        <is>
          <t>Target</t>
        </is>
      </c>
      <c r="E1" s="5" t="inlineStr">
        <is>
          <t>Amber threshold</t>
        </is>
      </c>
      <c r="F1" s="5" t="inlineStr">
        <is>
          <t>Current</t>
        </is>
      </c>
      <c r="G1" s="5" t="inlineStr">
        <is>
          <t>Unit</t>
        </is>
      </c>
      <c r="H1" s="5" t="inlineStr">
        <is>
          <t>Status</t>
        </is>
      </c>
      <c r="I1" s="5" t="inlineStr">
        <is>
          <t>Source</t>
        </is>
      </c>
      <c r="J1" s="5" t="inlineStr">
        <is>
          <t>Frequency</t>
        </is>
      </c>
      <c r="K1" s="5" t="inlineStr">
        <is>
          <t>Owner</t>
        </is>
      </c>
      <c r="L1" s="5" t="inlineStr">
        <is>
          <t>Measurement note</t>
        </is>
      </c>
    </row>
    <row r="2">
      <c r="A2" t="inlineStr">
        <is>
          <t>K-01</t>
        </is>
      </c>
      <c r="B2" t="inlineStr">
        <is>
          <t>Asset tagging compliance</t>
        </is>
      </c>
      <c r="C2" t="inlineStr">
        <is>
          <t>Resources + RGs with all 3 mandatory tags / total</t>
        </is>
      </c>
      <c r="D2" t="n">
        <v>100</v>
      </c>
      <c r="E2" t="n">
        <v>95</v>
      </c>
      <c r="F2" t="n">
        <v>100</v>
      </c>
      <c r="G2" t="inlineStr">
        <is>
          <t>%</t>
        </is>
      </c>
      <c r="H2">
        <f>IF(F2="","Pending",IF(F2&gt;=D2,"Green",IF(F2&gt;=E2,"Amber","Red")))</f>
        <v/>
      </c>
      <c r="I2" t="inlineStr">
        <is>
          <t>Azure Resource Graph</t>
        </is>
      </c>
      <c r="J2" t="inlineStr">
        <is>
          <t>Daily (Azure Policy)</t>
        </is>
      </c>
      <c r="K2" t="inlineStr">
        <is>
          <t>GRC Analyst</t>
        </is>
      </c>
      <c r="L2" t="inlineStr">
        <is>
          <t>Measured 2026-10-13: 19/19</t>
        </is>
      </c>
    </row>
    <row r="3">
      <c r="A3" t="inlineStr">
        <is>
          <t>K-02</t>
        </is>
      </c>
      <c r="B3" t="inlineStr">
        <is>
          <t>Guardrail policy compliance</t>
        </is>
      </c>
      <c r="C3" t="inlineStr">
        <is>
          <t>Compliant evaluations / total for can-guardrails</t>
        </is>
      </c>
      <c r="D3" t="n">
        <v>100</v>
      </c>
      <c r="E3" t="n">
        <v>95</v>
      </c>
      <c r="F3" t="n">
        <v>100</v>
      </c>
      <c r="G3" t="inlineStr">
        <is>
          <t>%</t>
        </is>
      </c>
      <c r="H3">
        <f>IF(F3="","Pending",IF(F3&gt;=D3,"Green",IF(F3&gt;=E3,"Amber","Red")))</f>
        <v/>
      </c>
      <c r="I3" t="inlineStr">
        <is>
          <t>Azure Policy</t>
        </is>
      </c>
      <c r="J3" t="inlineStr">
        <is>
          <t>Daily</t>
        </is>
      </c>
      <c r="K3" t="inlineStr">
        <is>
          <t>Security Officer</t>
        </is>
      </c>
      <c r="L3" t="inlineStr">
        <is>
          <t>Measured 2026-10-08: 31/31</t>
        </is>
      </c>
    </row>
    <row r="4">
      <c r="A4" t="inlineStr">
        <is>
          <t>K-03</t>
        </is>
      </c>
      <c r="B4" t="inlineStr">
        <is>
          <t>Least-privilege accounts</t>
        </is>
      </c>
      <c r="C4" t="inlineStr">
        <is>
          <t>Workforce accounts holding exactly one approved role / total</t>
        </is>
      </c>
      <c r="D4" t="n">
        <v>100</v>
      </c>
      <c r="E4" t="n">
        <v>95</v>
      </c>
      <c r="F4" t="n">
        <v>100</v>
      </c>
      <c r="G4" t="inlineStr">
        <is>
          <t>%</t>
        </is>
      </c>
      <c r="H4">
        <f>IF(F4="","Pending",IF(F4&gt;=D4,"Green",IF(F4&gt;=E4,"Amber","Red")))</f>
        <v/>
      </c>
      <c r="I4" t="inlineStr">
        <is>
          <t>Keycloak extract</t>
        </is>
      </c>
      <c r="J4" t="inlineStr">
        <is>
          <t>Quarterly</t>
        </is>
      </c>
      <c r="K4" t="inlineStr">
        <is>
          <t>IAM Analyst</t>
        </is>
      </c>
      <c r="L4" t="inlineStr">
        <is>
          <t>Measured 2026-10-13: 9/9</t>
        </is>
      </c>
    </row>
    <row r="5">
      <c r="A5" t="inlineStr">
        <is>
          <t>K-04</t>
        </is>
      </c>
      <c r="B5" t="inlineStr">
        <is>
          <t>MFA coverage (privileged + CDE)</t>
        </is>
      </c>
      <c r="C5" t="inlineStr">
        <is>
          <t>In-scope accounts forced through MFA / in-scope accounts</t>
        </is>
      </c>
      <c r="D5" t="n">
        <v>100</v>
      </c>
      <c r="E5" t="n">
        <v>90</v>
      </c>
      <c r="F5" t="n">
        <v>0</v>
      </c>
      <c r="G5" t="inlineStr">
        <is>
          <t>%</t>
        </is>
      </c>
      <c r="H5">
        <f>IF(F5="","Pending",IF(F5&gt;=D5,"Green",IF(F5&gt;=E5,"Amber","Red")))</f>
        <v/>
      </c>
      <c r="I5" t="inlineStr">
        <is>
          <t>Keycloak flows</t>
        </is>
      </c>
      <c r="J5" t="inlineStr">
        <is>
          <t>Monthly</t>
        </is>
      </c>
      <c r="K5" t="inlineStr">
        <is>
          <t>IAM Analyst</t>
        </is>
      </c>
      <c r="L5" t="inlineStr">
        <is>
          <t>Measured 2026-10-13: flow not bound</t>
        </is>
      </c>
    </row>
    <row r="6">
      <c r="A6" t="inlineStr">
        <is>
          <t>K-05</t>
        </is>
      </c>
      <c r="B6" t="inlineStr">
        <is>
          <t>Security alert rules enabled</t>
        </is>
      </c>
      <c r="C6" t="inlineStr">
        <is>
          <t>Enabled alert rules / defined alert rules</t>
        </is>
      </c>
      <c r="D6" t="n">
        <v>100</v>
      </c>
      <c r="E6" t="n">
        <v>90</v>
      </c>
      <c r="F6" t="n">
        <v>100</v>
      </c>
      <c r="G6" t="inlineStr">
        <is>
          <t>%</t>
        </is>
      </c>
      <c r="H6">
        <f>IF(F6="","Pending",IF(F6&gt;=D6,"Green",IF(F6&gt;=E6,"Amber","Red")))</f>
        <v/>
      </c>
      <c r="I6" t="inlineStr">
        <is>
          <t>Azure Monitor</t>
        </is>
      </c>
      <c r="J6" t="inlineStr">
        <is>
          <t>Weekly</t>
        </is>
      </c>
      <c r="K6" t="inlineStr">
        <is>
          <t>Security Analyst</t>
        </is>
      </c>
      <c r="L6" t="inlineStr">
        <is>
          <t>Measured 2026-10-13: 7/7</t>
        </is>
      </c>
    </row>
    <row r="7">
      <c r="A7" t="inlineStr">
        <is>
          <t>K-06</t>
        </is>
      </c>
      <c r="B7" t="inlineStr">
        <is>
          <t>Log retention vs requirement</t>
        </is>
      </c>
      <c r="C7" t="inlineStr">
        <is>
          <t>Days of centrally retained logs / 365</t>
        </is>
      </c>
      <c r="D7" t="n">
        <v>100</v>
      </c>
      <c r="E7" t="n">
        <v>50</v>
      </c>
      <c r="F7" t="n">
        <v>24.7</v>
      </c>
      <c r="G7" t="inlineStr">
        <is>
          <t>%</t>
        </is>
      </c>
      <c r="H7">
        <f>IF(F7="","Pending",IF(F7&gt;=D7,"Green",IF(F7&gt;=E7,"Amber","Red")))</f>
        <v/>
      </c>
      <c r="I7" t="inlineStr">
        <is>
          <t>Log platform</t>
        </is>
      </c>
      <c r="J7" t="inlineStr">
        <is>
          <t>Monthly</t>
        </is>
      </c>
      <c r="K7" t="inlineStr">
        <is>
          <t>Security Officer</t>
        </is>
      </c>
      <c r="L7" t="inlineStr">
        <is>
          <t>Measured 2026-10-13: 90/365</t>
        </is>
      </c>
    </row>
    <row r="8">
      <c r="A8" t="inlineStr">
        <is>
          <t>K-07</t>
        </is>
      </c>
      <c r="B8" t="inlineStr">
        <is>
          <t>Audit test pass rate</t>
        </is>
      </c>
      <c r="C8" t="inlineStr">
        <is>
          <t>Passed audit tests / tests performed</t>
        </is>
      </c>
      <c r="D8" t="n">
        <v>90</v>
      </c>
      <c r="E8" t="n">
        <v>75</v>
      </c>
      <c r="F8" t="n">
        <v>53.3</v>
      </c>
      <c r="G8" t="inlineStr">
        <is>
          <t>%</t>
        </is>
      </c>
      <c r="H8">
        <f>IF(F8="","Pending",IF(F8&gt;=D8,"Green",IF(F8&gt;=E8,"Amber","Red")))</f>
        <v/>
      </c>
      <c r="I8" t="inlineStr">
        <is>
          <t>Audit CAN-IA-2026-01</t>
        </is>
      </c>
      <c r="J8" t="inlineStr">
        <is>
          <t>Per audit</t>
        </is>
      </c>
      <c r="K8" t="inlineStr">
        <is>
          <t>GRC Analyst</t>
        </is>
      </c>
      <c r="L8" t="inlineStr">
        <is>
          <t>Measured 2026-10-13: 8/15</t>
        </is>
      </c>
    </row>
    <row r="9">
      <c r="A9" t="inlineStr">
        <is>
          <t>K-08</t>
        </is>
      </c>
      <c r="B9" t="inlineStr">
        <is>
          <t>High findings overdue</t>
        </is>
      </c>
      <c r="C9" t="inlineStr">
        <is>
          <t>Open High findings past target date</t>
        </is>
      </c>
      <c r="D9" t="n">
        <v>0</v>
      </c>
      <c r="E9" t="n">
        <v>1</v>
      </c>
      <c r="F9" t="n">
        <v>0</v>
      </c>
      <c r="G9" t="inlineStr">
        <is>
          <t>count</t>
        </is>
      </c>
      <c r="H9">
        <f>IF(F9="","Pending",IF(F9&lt;=D9,"Green",IF(F9&lt;=E9,"Amber","Red")))</f>
        <v/>
      </c>
      <c r="I9" t="inlineStr">
        <is>
          <t>Remediation tracker</t>
        </is>
      </c>
      <c r="J9" t="inlineStr">
        <is>
          <t>Weekly</t>
        </is>
      </c>
      <c r="K9" t="inlineStr">
        <is>
          <t>GRC Analyst</t>
        </is>
      </c>
      <c r="L9" t="inlineStr">
        <is>
          <t>Measured 2026-10-13</t>
        </is>
      </c>
    </row>
    <row r="10">
      <c r="A10" t="inlineStr">
        <is>
          <t>K-09</t>
        </is>
      </c>
      <c r="B10" t="inlineStr">
        <is>
          <t>Mean time to detect (MTTD)</t>
        </is>
      </c>
      <c r="C10" t="inlineStr">
        <is>
          <t>Avg minutes from security event to alert</t>
        </is>
      </c>
      <c r="D10" t="n">
        <v>15</v>
      </c>
      <c r="E10" t="n">
        <v>30</v>
      </c>
      <c r="F10" t="n">
        <v>7.5</v>
      </c>
      <c r="G10" t="inlineStr">
        <is>
          <t>min</t>
        </is>
      </c>
      <c r="H10">
        <f>IF(F10="","Pending",IF(F10&lt;=D10,"Green",IF(F10&lt;=E10,"Amber","Red")))</f>
        <v/>
      </c>
      <c r="I10" t="inlineStr">
        <is>
          <t>Incident records</t>
        </is>
      </c>
      <c r="J10" t="inlineStr">
        <is>
          <t>Per incident</t>
        </is>
      </c>
      <c r="K10" t="inlineStr">
        <is>
          <t>Security Analyst</t>
        </is>
      </c>
      <c r="L10" t="inlineStr">
        <is>
          <t>INC-20261008-01</t>
        </is>
      </c>
    </row>
    <row r="11">
      <c r="A11" t="inlineStr">
        <is>
          <t>K-10</t>
        </is>
      </c>
      <c r="B11" t="inlineStr">
        <is>
          <t>Workforce training completion</t>
        </is>
      </c>
      <c r="C11" t="inlineStr">
        <is>
          <t>Workforce who completed required modules / workforce</t>
        </is>
      </c>
      <c r="D11" t="n">
        <v>95</v>
      </c>
      <c r="E11" t="n">
        <v>85</v>
      </c>
      <c r="G11" t="inlineStr">
        <is>
          <t>%</t>
        </is>
      </c>
      <c r="H11">
        <f>IF(F11="","Pending",IF(F11&gt;=D11,"Green",IF(F11&gt;=E11,"Amber","Red")))</f>
        <v/>
      </c>
      <c r="I11" t="inlineStr">
        <is>
          <t>LMS</t>
        </is>
      </c>
      <c r="J11" t="inlineStr">
        <is>
          <t>Monthly</t>
        </is>
      </c>
      <c r="K11" t="inlineStr">
        <is>
          <t>Privacy Officer</t>
        </is>
      </c>
      <c r="L11" t="inlineStr">
        <is>
          <t>Starts Mar 2027 (baseline pending)</t>
        </is>
      </c>
    </row>
    <row r="12">
      <c r="A12" t="inlineStr">
        <is>
          <t>K-11</t>
        </is>
      </c>
      <c r="B12" t="inlineStr">
        <is>
          <t>Access reviews completed on time</t>
        </is>
      </c>
      <c r="C12" t="inlineStr">
        <is>
          <t>Reviews certified by deadline / reviews due</t>
        </is>
      </c>
      <c r="D12" t="n">
        <v>95</v>
      </c>
      <c r="E12" t="n">
        <v>85</v>
      </c>
      <c r="G12" t="inlineStr">
        <is>
          <t>%</t>
        </is>
      </c>
      <c r="H12">
        <f>IF(F12="","Pending",IF(F12&gt;=D12,"Green",IF(F12&gt;=E12,"Amber","Red")))</f>
        <v/>
      </c>
      <c r="I12" t="inlineStr">
        <is>
          <t>Review tickets</t>
        </is>
      </c>
      <c r="J12" t="inlineStr">
        <is>
          <t>Quarterly</t>
        </is>
      </c>
      <c r="K12" t="inlineStr">
        <is>
          <t>IAM Analyst</t>
        </is>
      </c>
      <c r="L12" t="inlineStr">
        <is>
          <t>First review due 2026-12-15</t>
        </is>
      </c>
    </row>
  </sheetData>
  <conditionalFormatting sqref="H2:H12">
    <cfRule type="cellIs" priority="1" operator="equal" dxfId="0">
      <formula>"Green"</formula>
    </cfRule>
    <cfRule type="cellIs" priority="2" operator="equal" dxfId="1">
      <formula>"Amber"</formula>
    </cfRule>
    <cfRule type="cellIs" priority="3" operator="equal" dxfId="2">
      <formula>"Red"</formula>
    </cfRule>
    <cfRule type="cellIs" priority="4" operator="equal" dxfId="3">
      <formula>"Pending"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4" customWidth="1" min="2" max="2"/>
    <col width="9" customWidth="1" min="3" max="3"/>
    <col width="26" customWidth="1" min="4" max="4"/>
    <col width="20" customWidth="1" min="5" max="5"/>
    <col width="12" customWidth="1" min="6" max="6"/>
    <col width="11" customWidth="1" min="7" max="7"/>
    <col width="12" customWidth="1" min="8" max="8"/>
    <col width="12" customWidth="1" min="9" max="9"/>
    <col width="11" customWidth="1" min="10" max="10"/>
    <col width="30" customWidth="1" min="11" max="11"/>
  </cols>
  <sheetData>
    <row r="1">
      <c r="A1" s="5" t="inlineStr">
        <is>
          <t>ID</t>
        </is>
      </c>
      <c r="B1" s="5" t="inlineStr">
        <is>
          <t>Finding</t>
        </is>
      </c>
      <c r="C1" s="5" t="inlineStr">
        <is>
          <t>Rating</t>
        </is>
      </c>
      <c r="D1" s="5" t="inlineStr">
        <is>
          <t>Requirement</t>
        </is>
      </c>
      <c r="E1" s="5" t="inlineStr">
        <is>
          <t>Owner</t>
        </is>
      </c>
      <c r="F1" s="5" t="inlineStr">
        <is>
          <t>Target date</t>
        </is>
      </c>
      <c r="G1" s="5" t="inlineStr">
        <is>
          <t>% complete</t>
        </is>
      </c>
      <c r="H1" s="5" t="inlineStr">
        <is>
          <t>RAG status</t>
        </is>
      </c>
      <c r="I1" s="5" t="inlineStr">
        <is>
          <t>Last update</t>
        </is>
      </c>
      <c r="J1" s="5" t="inlineStr">
        <is>
          <t>Evidence</t>
        </is>
      </c>
      <c r="K1" s="5" t="inlineStr">
        <is>
          <t>Notes</t>
        </is>
      </c>
    </row>
    <row r="2">
      <c r="A2" t="inlineStr">
        <is>
          <t>F-01</t>
        </is>
      </c>
      <c r="B2" t="inlineStr">
        <is>
          <t>MFA not enforced for privileged / CDE access</t>
        </is>
      </c>
      <c r="C2" t="inlineStr">
        <is>
          <t>High</t>
        </is>
      </c>
      <c r="D2" t="inlineStr">
        <is>
          <t>HIPAA 164.312(d); PCI 8.4.2</t>
        </is>
      </c>
      <c r="E2" t="inlineStr">
        <is>
          <t>IAM Analyst</t>
        </is>
      </c>
      <c r="F2" s="6" t="n">
        <v>46332</v>
      </c>
      <c r="G2" s="7" t="n">
        <v>0</v>
      </c>
      <c r="H2">
        <f>IF(G2&gt;=1,"Closed",IF(TODAY()&gt;F2,"Red",IF(AND(F2-TODAY()&lt;=7,G2&lt;0.75),"Amber","Green")))</f>
        <v/>
      </c>
      <c r="I2" s="6" t="n">
        <v>46308</v>
      </c>
      <c r="J2" t="inlineStr">
        <is>
          <t>E-AC-02</t>
        </is>
      </c>
      <c r="K2" t="inlineStr"/>
    </row>
    <row r="3">
      <c r="A3" t="inlineStr">
        <is>
          <t>F-02</t>
        </is>
      </c>
      <c r="B3" t="inlineStr">
        <is>
          <t>Account lockout (brute-force protection) disabled</t>
        </is>
      </c>
      <c r="C3" t="inlineStr">
        <is>
          <t>High</t>
        </is>
      </c>
      <c r="D3" t="inlineStr">
        <is>
          <t>PCI 8.3.4</t>
        </is>
      </c>
      <c r="E3" t="inlineStr">
        <is>
          <t>IAM Analyst</t>
        </is>
      </c>
      <c r="F3" s="6" t="n">
        <v>46318</v>
      </c>
      <c r="G3" s="7" t="n">
        <v>0</v>
      </c>
      <c r="H3">
        <f>IF(G3&gt;=1,"Closed",IF(TODAY()&gt;F3,"Red",IF(AND(F3-TODAY()&lt;=7,G3&lt;0.75),"Amber","Green")))</f>
        <v/>
      </c>
      <c r="I3" s="6" t="n">
        <v>46308</v>
      </c>
      <c r="J3" t="inlineStr">
        <is>
          <t>E-AC-02</t>
        </is>
      </c>
      <c r="K3" t="inlineStr"/>
    </row>
    <row r="4">
      <c r="A4" t="inlineStr">
        <is>
          <t>F-03</t>
        </is>
      </c>
      <c r="B4" t="inlineStr">
        <is>
          <t>No 12-month central log retention</t>
        </is>
      </c>
      <c r="C4" t="inlineStr">
        <is>
          <t>High</t>
        </is>
      </c>
      <c r="D4" t="inlineStr">
        <is>
          <t>HIPAA 164.312(b); PCI 10.5.1</t>
        </is>
      </c>
      <c r="E4" t="inlineStr">
        <is>
          <t>Security Officer</t>
        </is>
      </c>
      <c r="F4" s="6" t="n">
        <v>46356</v>
      </c>
      <c r="G4" s="7" t="n">
        <v>0</v>
      </c>
      <c r="H4">
        <f>IF(G4&gt;=1,"Closed",IF(TODAY()&gt;F4,"Red",IF(AND(F4-TODAY()&lt;=7,G4&lt;0.75),"Amber","Green")))</f>
        <v/>
      </c>
      <c r="I4" s="6" t="n">
        <v>46308</v>
      </c>
      <c r="J4" t="inlineStr">
        <is>
          <t>E-LOG-01</t>
        </is>
      </c>
      <c r="K4" t="inlineStr"/>
    </row>
    <row r="5">
      <c r="A5" t="inlineStr">
        <is>
          <t>F-04</t>
        </is>
      </c>
      <c r="B5" t="inlineStr">
        <is>
          <t>Password length 10 / history 3 below PCI minimum</t>
        </is>
      </c>
      <c r="C5" t="inlineStr">
        <is>
          <t>Medium</t>
        </is>
      </c>
      <c r="D5" t="inlineStr">
        <is>
          <t>PCI 8.3.6, 8.3.7</t>
        </is>
      </c>
      <c r="E5" t="inlineStr">
        <is>
          <t>IAM Analyst</t>
        </is>
      </c>
      <c r="F5" s="6" t="n">
        <v>46318</v>
      </c>
      <c r="G5" s="7" t="n">
        <v>0</v>
      </c>
      <c r="H5">
        <f>IF(G5&gt;=1,"Closed",IF(TODAY()&gt;F5,"Red",IF(AND(F5-TODAY()&lt;=7,G5&lt;0.75),"Amber","Green")))</f>
        <v/>
      </c>
      <c r="I5" s="6" t="n">
        <v>46308</v>
      </c>
      <c r="J5" t="inlineStr">
        <is>
          <t>E-AC-02</t>
        </is>
      </c>
      <c r="K5" t="inlineStr"/>
    </row>
    <row r="6">
      <c r="A6" t="inlineStr">
        <is>
          <t>F-05</t>
        </is>
      </c>
      <c r="B6" t="inlineStr">
        <is>
          <t>No completed access review / daily log review records</t>
        </is>
      </c>
      <c r="C6" t="inlineStr">
        <is>
          <t>Medium</t>
        </is>
      </c>
      <c r="D6" t="inlineStr">
        <is>
          <t>PCI 7.2.4, 10.4.1</t>
        </is>
      </c>
      <c r="E6" t="inlineStr">
        <is>
          <t>IAM / Security Analyst</t>
        </is>
      </c>
      <c r="F6" s="6" t="n">
        <v>46371</v>
      </c>
      <c r="G6" s="7" t="n">
        <v>0.1</v>
      </c>
      <c r="H6">
        <f>IF(G6&gt;=1,"Closed",IF(TODAY()&gt;F6,"Red",IF(AND(F6-TODAY()&lt;=7,G6&lt;0.75),"Amber","Green")))</f>
        <v/>
      </c>
      <c r="I6" s="6" t="n">
        <v>46308</v>
      </c>
      <c r="J6" t="inlineStr">
        <is>
          <t>Inquiry</t>
        </is>
      </c>
      <c r="K6" t="inlineStr"/>
    </row>
    <row r="7">
      <c r="A7" t="inlineStr">
        <is>
          <t>F-06</t>
        </is>
      </c>
      <c r="B7" t="inlineStr">
        <is>
          <t>Identity provider over HTTP in lab</t>
        </is>
      </c>
      <c r="C7" t="inlineStr">
        <is>
          <t>Low</t>
        </is>
      </c>
      <c r="D7" t="inlineStr">
        <is>
          <t>HIPAA 164.312(e)(1); PCI 4.2.1</t>
        </is>
      </c>
      <c r="E7" t="inlineStr">
        <is>
          <t>IT Support</t>
        </is>
      </c>
      <c r="F7" s="6" t="n">
        <v>46418</v>
      </c>
      <c r="G7" s="7" t="n">
        <v>0</v>
      </c>
      <c r="H7">
        <f>IF(G7&gt;=1,"Closed",IF(TODAY()&gt;F7,"Red",IF(AND(F7-TODAY()&lt;=7,G7&lt;0.75),"Amber","Green")))</f>
        <v/>
      </c>
      <c r="I7" s="6" t="n">
        <v>46308</v>
      </c>
      <c r="J7" t="inlineStr">
        <is>
          <t>E-ENC-01</t>
        </is>
      </c>
      <c r="K7" t="inlineStr"/>
    </row>
    <row r="9">
      <c r="A9" s="3" t="inlineStr">
        <is>
          <t>Rules:</t>
        </is>
      </c>
    </row>
    <row r="10">
      <c r="A10" t="inlineStr">
        <is>
          <t>Closed = 100% complete and evidence verified by GRC. Red = past target date. Amber = due within 7 days and under 75% complete. Owners update weekly; committee reviews monthly.</t>
        </is>
      </c>
    </row>
  </sheetData>
  <conditionalFormatting sqref="H2:H7">
    <cfRule type="cellIs" priority="1" operator="equal" dxfId="0">
      <formula>"Green"</formula>
    </cfRule>
    <cfRule type="cellIs" priority="2" operator="equal" dxfId="1">
      <formula>"Amber"</formula>
    </cfRule>
    <cfRule type="cellIs" priority="3" operator="equal" dxfId="2">
      <formula>"Red"</formula>
    </cfRule>
    <cfRule type="cellIs" priority="4" operator="equal" dxfId="3">
      <formula>"Closed"</formula>
    </cfRule>
  </conditionalFormatting>
  <dataValidations count="1">
    <dataValidation sqref="G2:G27" showDropDown="0" showInputMessage="0" showErrorMessage="1" allowBlank="0" errorTitle="0-100%" error="Enter a value between 0% and 100%" type="decimal" operator="between">
      <formula1>0</formula1>
      <formula2>1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68" customWidth="1" min="3" max="3"/>
    <col width="8" customWidth="1" min="4" max="4"/>
    <col width="12" customWidth="1" min="5" max="5"/>
    <col width="14" customWidth="1" min="6" max="6"/>
    <col width="16" customWidth="1" min="7" max="7"/>
  </cols>
  <sheetData>
    <row r="1">
      <c r="A1" s="5" t="inlineStr">
        <is>
          <t>Evidence ID</t>
        </is>
      </c>
      <c r="B1" s="5" t="inlineStr">
        <is>
          <t>File</t>
        </is>
      </c>
      <c r="C1" s="5" t="inlineStr">
        <is>
          <t>SHA-256</t>
        </is>
      </c>
      <c r="D1" s="5" t="inlineStr">
        <is>
          <t>Bytes</t>
        </is>
      </c>
      <c r="E1" s="5" t="inlineStr">
        <is>
          <t>Collected</t>
        </is>
      </c>
      <c r="F1" s="5" t="inlineStr">
        <is>
          <t>Collected by</t>
        </is>
      </c>
      <c r="G1" s="5" t="inlineStr">
        <is>
          <t>Location</t>
        </is>
      </c>
    </row>
    <row r="2">
      <c r="A2" s="8" t="inlineStr">
        <is>
          <t>E-AC-01</t>
        </is>
      </c>
      <c r="B2" s="8" t="inlineStr">
        <is>
          <t>E-AC-01_keycloak_users_roles.txt</t>
        </is>
      </c>
      <c r="C2" s="8" t="inlineStr">
        <is>
          <t>2c94fabfceacd3d058be40bc48ef244f72e9cc218c5826a955f596de522722c1</t>
        </is>
      </c>
      <c r="D2" s="8" t="n">
        <v>1870</v>
      </c>
      <c r="E2" s="8" t="inlineStr">
        <is>
          <t>2026-10-13</t>
        </is>
      </c>
      <c r="F2" s="8" t="inlineStr">
        <is>
          <t>GRC Analyst</t>
        </is>
      </c>
      <c r="G2" s="8" t="inlineStr">
        <is>
          <t>audit-evidence/</t>
        </is>
      </c>
    </row>
    <row r="3">
      <c r="A3" s="8" t="inlineStr">
        <is>
          <t>E-AC-02</t>
        </is>
      </c>
      <c r="B3" s="8" t="inlineStr">
        <is>
          <t>E-AC-02_authn_settings_and_entra_assignments.txt</t>
        </is>
      </c>
      <c r="C3" s="8" t="inlineStr">
        <is>
          <t>eec9ece839fcd29226eef5c7f07343d0873457cdd726aefb5bff71036eb3488f</t>
        </is>
      </c>
      <c r="D3" s="8" t="n">
        <v>993</v>
      </c>
      <c r="E3" s="8" t="inlineStr">
        <is>
          <t>2026-10-13</t>
        </is>
      </c>
      <c r="F3" s="8" t="inlineStr">
        <is>
          <t>GRC Analyst</t>
        </is>
      </c>
      <c r="G3" s="8" t="inlineStr">
        <is>
          <t>audit-evidence/</t>
        </is>
      </c>
    </row>
    <row r="4">
      <c r="A4" s="8" t="inlineStr">
        <is>
          <t>E-ENC-01</t>
        </is>
      </c>
      <c r="B4" s="8" t="inlineStr">
        <is>
          <t>E-ENC-01_tls_enforcement.txt</t>
        </is>
      </c>
      <c r="C4" s="8" t="inlineStr">
        <is>
          <t>2dda385fbcbb32909e5224ccefa8505c617bb346a64f92f45561a0fee09cf668</t>
        </is>
      </c>
      <c r="D4" s="8" t="n">
        <v>721</v>
      </c>
      <c r="E4" s="8" t="inlineStr">
        <is>
          <t>2026-10-13</t>
        </is>
      </c>
      <c r="F4" s="8" t="inlineStr">
        <is>
          <t>GRC Analyst</t>
        </is>
      </c>
      <c r="G4" s="8" t="inlineStr">
        <is>
          <t>audit-evidence/</t>
        </is>
      </c>
    </row>
    <row r="5">
      <c r="A5" s="8" t="inlineStr">
        <is>
          <t>E-LOG-01</t>
        </is>
      </c>
      <c r="B5" s="8" t="inlineStr">
        <is>
          <t>E-LOG-01_alerting_and_log_retention.txt</t>
        </is>
      </c>
      <c r="C5" s="8" t="inlineStr">
        <is>
          <t>0063a1a5ac8512a10f02f2a3ff109a8f1341adec43d75db22b5fe9d6ea103dc3</t>
        </is>
      </c>
      <c r="D5" s="8" t="n">
        <v>1665</v>
      </c>
      <c r="E5" s="8" t="inlineStr">
        <is>
          <t>2026-10-13</t>
        </is>
      </c>
      <c r="F5" s="8" t="inlineStr">
        <is>
          <t>GRC Analyst</t>
        </is>
      </c>
      <c r="G5" s="8" t="inlineStr">
        <is>
          <t>audit-evidence/</t>
        </is>
      </c>
    </row>
    <row r="6">
      <c r="A6" s="8" t="inlineStr">
        <is>
          <t>tpl-http</t>
        </is>
      </c>
      <c r="B6" s="8" t="inlineStr">
        <is>
          <t>tpl-http.json</t>
        </is>
      </c>
      <c r="C6" s="8" t="inlineStr">
        <is>
          <t>8b114dea7f87a51f1ef7ff76d8e0b95bf8a72a165648b7bdc1cc5ae2ce356c70</t>
        </is>
      </c>
      <c r="D6" s="8" t="n">
        <v>511</v>
      </c>
      <c r="E6" s="8" t="inlineStr">
        <is>
          <t>2026-10-13</t>
        </is>
      </c>
      <c r="F6" s="8" t="inlineStr">
        <is>
          <t>GRC Analyst</t>
        </is>
      </c>
      <c r="G6" s="8" t="inlineStr">
        <is>
          <t>audit-evidence/</t>
        </is>
      </c>
    </row>
    <row r="7">
      <c r="A7" s="8" t="inlineStr">
        <is>
          <t>tpl-ok</t>
        </is>
      </c>
      <c r="B7" s="8" t="inlineStr">
        <is>
          <t>tpl-ok.json</t>
        </is>
      </c>
      <c r="C7" s="8" t="inlineStr">
        <is>
          <t>a613a68c745029d5cc7cabbc7cff2a18e3b812e62efa748aca987abc1eb35480</t>
        </is>
      </c>
      <c r="D7" s="8" t="n">
        <v>508</v>
      </c>
      <c r="E7" s="8" t="inlineStr">
        <is>
          <t>2026-10-13</t>
        </is>
      </c>
      <c r="F7" s="8" t="inlineStr">
        <is>
          <t>GRC Analyst</t>
        </is>
      </c>
      <c r="G7" s="8" t="inlineStr">
        <is>
          <t>audit-evidence/</t>
        </is>
      </c>
    </row>
    <row r="8">
      <c r="A8" s="8" t="inlineStr">
        <is>
          <t>tpl-tls10</t>
        </is>
      </c>
      <c r="B8" s="8" t="inlineStr">
        <is>
          <t>tpl-tls10.json</t>
        </is>
      </c>
      <c r="C8" s="8" t="inlineStr">
        <is>
          <t>6b7d76b0692fef6fd3ffeef9e62ac058cc9d57ccb7463ac386bc6427de021643</t>
        </is>
      </c>
      <c r="D8" s="8" t="n">
        <v>509</v>
      </c>
      <c r="E8" s="8" t="inlineStr">
        <is>
          <t>2026-10-13</t>
        </is>
      </c>
      <c r="F8" s="8" t="inlineStr">
        <is>
          <t>GRC Analyst</t>
        </is>
      </c>
      <c r="G8" s="8" t="inlineStr">
        <is>
          <t>audit-evidence/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  <col width="28" customWidth="1" min="4" max="4"/>
    <col width="24" customWidth="1" min="5" max="5"/>
    <col width="18" customWidth="1" min="6" max="6"/>
    <col width="22" customWidth="1" min="7" max="7"/>
  </cols>
  <sheetData>
    <row r="1">
      <c r="A1" s="5" t="inlineStr">
        <is>
          <t>Record type</t>
        </is>
      </c>
      <c r="B1" s="5" t="inlineStr">
        <is>
          <t>Regulation / driver</t>
        </is>
      </c>
      <c r="C1" s="5" t="inlineStr">
        <is>
          <t>Retention</t>
        </is>
      </c>
      <c r="D1" s="5" t="inlineStr">
        <is>
          <t>Storage</t>
        </is>
      </c>
      <c r="E1" s="5" t="inlineStr">
        <is>
          <t>Access</t>
        </is>
      </c>
      <c r="F1" s="5" t="inlineStr">
        <is>
          <t>Owner</t>
        </is>
      </c>
      <c r="G1" s="5" t="inlineStr">
        <is>
          <t>Disposal</t>
        </is>
      </c>
    </row>
    <row r="2">
      <c r="A2" s="8" t="inlineStr">
        <is>
          <t>Compliance policies, procedures (all versions)</t>
        </is>
      </c>
      <c r="B2" s="8" t="inlineStr">
        <is>
          <t>HIPAA 164.316(b)(2)(i)</t>
        </is>
      </c>
      <c r="C2" s="8" t="inlineStr">
        <is>
          <t>6 years from last effective date</t>
        </is>
      </c>
      <c r="D2" s="8" t="inlineStr">
        <is>
          <t>Policy portal (versioned)</t>
        </is>
      </c>
      <c r="E2" s="8" t="inlineStr">
        <is>
          <t>All staff read; GRC edit</t>
        </is>
      </c>
      <c r="F2" s="8" t="inlineStr">
        <is>
          <t>GRC Analyst</t>
        </is>
      </c>
      <c r="G2" s="8" t="inlineStr">
        <is>
          <t>Secure delete after review</t>
        </is>
      </c>
    </row>
    <row r="3">
      <c r="A3" s="8" t="inlineStr">
        <is>
          <t>Risk analyses and risk register</t>
        </is>
      </c>
      <c r="B3" s="8" t="inlineStr">
        <is>
          <t>HIPAA 164.316(b)(2)(i); 164.308(a)(1)</t>
        </is>
      </c>
      <c r="C3" s="8" t="inlineStr">
        <is>
          <t>6 years</t>
        </is>
      </c>
      <c r="D3" s="8" t="inlineStr">
        <is>
          <t>GRC repository</t>
        </is>
      </c>
      <c r="E3" s="8" t="inlineStr">
        <is>
          <t>Compliance team</t>
        </is>
      </c>
      <c r="F3" s="8" t="inlineStr">
        <is>
          <t>GRC Analyst</t>
        </is>
      </c>
      <c r="G3" s="8" t="inlineStr">
        <is>
          <t>Secure delete</t>
        </is>
      </c>
    </row>
    <row r="4">
      <c r="A4" s="8" t="inlineStr">
        <is>
          <t>Audit reports and evidence packs</t>
        </is>
      </c>
      <c r="B4" s="8" t="inlineStr">
        <is>
          <t>HIPAA 164.316; Internal Audit standards</t>
        </is>
      </c>
      <c r="C4" s="8" t="inlineStr">
        <is>
          <t>6 years</t>
        </is>
      </c>
      <c r="D4" s="8" t="inlineStr">
        <is>
          <t>Evidence repository (WORM)</t>
        </is>
      </c>
      <c r="E4" s="8" t="inlineStr">
        <is>
          <t>Compliance + Internal Audit</t>
        </is>
      </c>
      <c r="F4" s="8" t="inlineStr">
        <is>
          <t>Internal Audit</t>
        </is>
      </c>
      <c r="G4" s="8" t="inlineStr">
        <is>
          <t>Secure delete</t>
        </is>
      </c>
    </row>
    <row r="5">
      <c r="A5" s="8" t="inlineStr">
        <is>
          <t>Security audit logs (CDE)</t>
        </is>
      </c>
      <c r="B5" s="8" t="inlineStr">
        <is>
          <t>PCI DSS 10.5.1</t>
        </is>
      </c>
      <c r="C5" s="8" t="inlineStr">
        <is>
          <t>12 months (3 months online)</t>
        </is>
      </c>
      <c r="D5" s="8" t="inlineStr">
        <is>
          <t>Central log platform</t>
        </is>
      </c>
      <c r="E5" s="8" t="inlineStr">
        <is>
          <t>Security team (read-only)</t>
        </is>
      </c>
      <c r="F5" s="8" t="inlineStr">
        <is>
          <t>Security Officer</t>
        </is>
      </c>
      <c r="G5" s="8" t="inlineStr">
        <is>
          <t>Automatic expiry</t>
        </is>
      </c>
    </row>
    <row r="6">
      <c r="A6" s="8" t="inlineStr">
        <is>
          <t>Security audit logs (ePHI systems)</t>
        </is>
      </c>
      <c r="B6" s="8" t="inlineStr">
        <is>
          <t>HIPAA 164.312(b) (policy-set)</t>
        </is>
      </c>
      <c r="C6" s="8" t="inlineStr">
        <is>
          <t>6 years (summaries); 12 months raw</t>
        </is>
      </c>
      <c r="D6" s="8" t="inlineStr">
        <is>
          <t>Central log platform + archive</t>
        </is>
      </c>
      <c r="E6" s="8" t="inlineStr">
        <is>
          <t>Security team</t>
        </is>
      </c>
      <c r="F6" s="8" t="inlineStr">
        <is>
          <t>Security Officer</t>
        </is>
      </c>
      <c r="G6" s="8" t="inlineStr">
        <is>
          <t>Automatic expiry</t>
        </is>
      </c>
    </row>
    <row r="7">
      <c r="A7" s="8" t="inlineStr">
        <is>
          <t>Access requests, reviews, certifications</t>
        </is>
      </c>
      <c r="B7" s="8" t="inlineStr">
        <is>
          <t>HIPAA 164.308(a)(4); PCI 7.2.4</t>
        </is>
      </c>
      <c r="C7" s="8" t="inlineStr">
        <is>
          <t>6 years</t>
        </is>
      </c>
      <c r="D7" s="8" t="inlineStr">
        <is>
          <t>Ticketing + evidence repository</t>
        </is>
      </c>
      <c r="E7" s="8" t="inlineStr">
        <is>
          <t>IAM + managers</t>
        </is>
      </c>
      <c r="F7" s="8" t="inlineStr">
        <is>
          <t>IAM Analyst</t>
        </is>
      </c>
      <c r="G7" s="8" t="inlineStr">
        <is>
          <t>Secure delete</t>
        </is>
      </c>
    </row>
    <row r="8">
      <c r="A8" s="8" t="inlineStr">
        <is>
          <t>Training records and attestations</t>
        </is>
      </c>
      <c r="B8" s="8" t="inlineStr">
        <is>
          <t>HIPAA 164.530(b)(2), 164.530(j)</t>
        </is>
      </c>
      <c r="C8" s="8" t="inlineStr">
        <is>
          <t>6 years</t>
        </is>
      </c>
      <c r="D8" s="8" t="inlineStr">
        <is>
          <t>LMS</t>
        </is>
      </c>
      <c r="E8" s="8" t="inlineStr">
        <is>
          <t>HR + Privacy</t>
        </is>
      </c>
      <c r="F8" s="8" t="inlineStr">
        <is>
          <t>Privacy Officer</t>
        </is>
      </c>
      <c r="G8" s="8" t="inlineStr">
        <is>
          <t>LMS purge</t>
        </is>
      </c>
    </row>
    <row r="9">
      <c r="A9" s="8" t="inlineStr">
        <is>
          <t>Incident and breach records, notifications</t>
        </is>
      </c>
      <c r="B9" s="8" t="inlineStr">
        <is>
          <t>HIPAA 164.530(j); 164.414 burden of proof</t>
        </is>
      </c>
      <c r="C9" s="8" t="inlineStr">
        <is>
          <t>6 years</t>
        </is>
      </c>
      <c r="D9" s="8" t="inlineStr">
        <is>
          <t>Incident system</t>
        </is>
      </c>
      <c r="E9" s="8" t="inlineStr">
        <is>
          <t>Privacy + Security</t>
        </is>
      </c>
      <c r="F9" s="8" t="inlineStr">
        <is>
          <t>Privacy Officer</t>
        </is>
      </c>
      <c r="G9" s="8" t="inlineStr">
        <is>
          <t>Secure delete</t>
        </is>
      </c>
    </row>
    <row r="10">
      <c r="A10" s="8" t="inlineStr">
        <is>
          <t>Business associate agreements</t>
        </is>
      </c>
      <c r="B10" s="8" t="inlineStr">
        <is>
          <t>HIPAA 164.316, 164.504(e)</t>
        </is>
      </c>
      <c r="C10" s="8" t="inlineStr">
        <is>
          <t>6 years after termination</t>
        </is>
      </c>
      <c r="D10" s="8" t="inlineStr">
        <is>
          <t>Contract system</t>
        </is>
      </c>
      <c r="E10" s="8" t="inlineStr">
        <is>
          <t>Legal + Vendor Mgr</t>
        </is>
      </c>
      <c r="F10" s="8" t="inlineStr">
        <is>
          <t>Vendor Manager</t>
        </is>
      </c>
      <c r="G10" s="8" t="inlineStr">
        <is>
          <t>Secure delete</t>
        </is>
      </c>
    </row>
    <row r="11">
      <c r="A11" s="8" t="inlineStr">
        <is>
          <t>Medical records (EHR)</t>
        </is>
      </c>
      <c r="B11" s="8" t="inlineStr">
        <is>
          <t>NY 10 NYCRR 405.10</t>
        </is>
      </c>
      <c r="C11" s="8" t="inlineStr">
        <is>
          <t>6 years after discharge, or 3 years after age 18, whichever is longer</t>
        </is>
      </c>
      <c r="D11" s="8" t="inlineStr">
        <is>
          <t>EHR system</t>
        </is>
      </c>
      <c r="E11" s="8" t="inlineStr">
        <is>
          <t>Clinical roles (RBAC)</t>
        </is>
      </c>
      <c r="F11" s="8" t="inlineStr">
        <is>
          <t>HIM Director</t>
        </is>
      </c>
      <c r="G11" s="8" t="inlineStr">
        <is>
          <t>NIST SP 800-88 purge</t>
        </is>
      </c>
    </row>
    <row r="12">
      <c r="A12" s="8" t="inlineStr">
        <is>
          <t>PCI SAQ, AOC, ASV scan reports</t>
        </is>
      </c>
      <c r="B12" s="8" t="inlineStr">
        <is>
          <t>PCI DSS 12.4, 11.3.2</t>
        </is>
      </c>
      <c r="C12" s="8" t="inlineStr">
        <is>
          <t>3 years (policy-set)</t>
        </is>
      </c>
      <c r="D12" s="8" t="inlineStr">
        <is>
          <t>Compliance repository</t>
        </is>
      </c>
      <c r="E12" s="8" t="inlineStr">
        <is>
          <t>Security + Compliance</t>
        </is>
      </c>
      <c r="F12" s="8" t="inlineStr">
        <is>
          <t>Security Officer</t>
        </is>
      </c>
      <c r="G12" s="8" t="inlineStr">
        <is>
          <t>Secure delete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8" customWidth="1" min="3" max="3"/>
    <col width="16" customWidth="1" min="4" max="4"/>
    <col width="18" customWidth="1" min="5" max="5"/>
    <col width="12" customWidth="1" min="6" max="6"/>
    <col width="16" customWidth="1" min="7" max="7"/>
    <col width="26" customWidth="1" min="8" max="8"/>
    <col width="14" customWidth="1" min="9" max="9"/>
    <col width="22" customWidth="1" min="10" max="10"/>
  </cols>
  <sheetData>
    <row r="1">
      <c r="A1" s="5" t="inlineStr">
        <is>
          <t>Doc ID</t>
        </is>
      </c>
      <c r="B1" s="5" t="inlineStr">
        <is>
          <t>Title</t>
        </is>
      </c>
      <c r="C1" s="5" t="inlineStr">
        <is>
          <t>Version</t>
        </is>
      </c>
      <c r="D1" s="5" t="inlineStr">
        <is>
          <t>Owner</t>
        </is>
      </c>
      <c r="E1" s="5" t="inlineStr">
        <is>
          <t>Approver</t>
        </is>
      </c>
      <c r="F1" s="5" t="inlineStr">
        <is>
          <t>Effective</t>
        </is>
      </c>
      <c r="G1" s="5" t="inlineStr">
        <is>
          <t>Next review</t>
        </is>
      </c>
      <c r="H1" s="5" t="inlineStr">
        <is>
          <t>Distribution</t>
        </is>
      </c>
      <c r="I1" s="5" t="inlineStr">
        <is>
          <t>Classification</t>
        </is>
      </c>
      <c r="J1" s="5" t="inlineStr">
        <is>
          <t>Location</t>
        </is>
      </c>
    </row>
    <row r="2">
      <c r="A2" s="8" t="inlineStr">
        <is>
          <t>CAN-COMP-RA-001</t>
        </is>
      </c>
      <c r="B2" s="8" t="inlineStr">
        <is>
          <t>Compliance Requirements Analysis</t>
        </is>
      </c>
      <c r="C2" s="8" t="inlineStr">
        <is>
          <t>1.0</t>
        </is>
      </c>
      <c r="D2" s="8" t="inlineStr">
        <is>
          <t>GRC Analyst</t>
        </is>
      </c>
      <c r="E2" s="8" t="inlineStr">
        <is>
          <t>CCO</t>
        </is>
      </c>
      <c r="F2" s="8" t="inlineStr">
        <is>
          <t>2026-10-13</t>
        </is>
      </c>
      <c r="G2" s="8" t="inlineStr">
        <is>
          <t>2027-10-13</t>
        </is>
      </c>
      <c r="H2" s="8" t="inlineStr">
        <is>
          <t>Committee, control owners</t>
        </is>
      </c>
      <c r="I2" s="8" t="inlineStr">
        <is>
          <t>Internal</t>
        </is>
      </c>
      <c r="J2" s="8" t="inlineStr">
        <is>
          <t>Task 1 PDF</t>
        </is>
      </c>
    </row>
    <row r="3">
      <c r="A3" s="8" t="inlineStr">
        <is>
          <t>CAN-COMP-PLN-001</t>
        </is>
      </c>
      <c r="B3" s="8" t="inlineStr">
        <is>
          <t>Compliance Program Plan FY2027</t>
        </is>
      </c>
      <c r="C3" s="8" t="inlineStr">
        <is>
          <t>1.0</t>
        </is>
      </c>
      <c r="D3" s="8" t="inlineStr">
        <is>
          <t>CCO</t>
        </is>
      </c>
      <c r="E3" s="8" t="inlineStr">
        <is>
          <t>Program Sponsor</t>
        </is>
      </c>
      <c r="F3" s="8" t="inlineStr">
        <is>
          <t>2026-11-01</t>
        </is>
      </c>
      <c r="G3" s="8" t="inlineStr">
        <is>
          <t>2027-10-01</t>
        </is>
      </c>
      <c r="H3" s="8" t="inlineStr">
        <is>
          <t>Committee, Board</t>
        </is>
      </c>
      <c r="I3" s="8" t="inlineStr">
        <is>
          <t>Internal</t>
        </is>
      </c>
      <c r="J3" s="8" t="inlineStr">
        <is>
          <t>Task 1 PDF</t>
        </is>
      </c>
    </row>
    <row r="4">
      <c r="A4" s="8" t="inlineStr">
        <is>
          <t>CAN-COMP-GOV-001</t>
        </is>
      </c>
      <c r="B4" s="8" t="inlineStr">
        <is>
          <t>Compliance Governance Charter &amp; Communication Plan</t>
        </is>
      </c>
      <c r="C4" s="8" t="inlineStr">
        <is>
          <t>1.0</t>
        </is>
      </c>
      <c r="D4" s="8" t="inlineStr">
        <is>
          <t>CCO</t>
        </is>
      </c>
      <c r="E4" s="8" t="inlineStr">
        <is>
          <t>Board committee</t>
        </is>
      </c>
      <c r="F4" s="8" t="inlineStr">
        <is>
          <t>2026-11-01</t>
        </is>
      </c>
      <c r="G4" s="8" t="inlineStr">
        <is>
          <t>2027-11-01</t>
        </is>
      </c>
      <c r="H4" s="8" t="inlineStr">
        <is>
          <t>Committee, Board</t>
        </is>
      </c>
      <c r="I4" s="8" t="inlineStr">
        <is>
          <t>Internal</t>
        </is>
      </c>
      <c r="J4" s="8" t="inlineStr">
        <is>
          <t>Task 2 PDF</t>
        </is>
      </c>
    </row>
    <row r="5">
      <c r="A5" s="8" t="inlineStr">
        <is>
          <t>CAN-POL-AC-001</t>
        </is>
      </c>
      <c r="B5" s="8" t="inlineStr">
        <is>
          <t>Access Control and Identity Management Policy</t>
        </is>
      </c>
      <c r="C5" s="8" t="inlineStr">
        <is>
          <t>1.0</t>
        </is>
      </c>
      <c r="D5" s="8" t="inlineStr">
        <is>
          <t>Security Officer</t>
        </is>
      </c>
      <c r="E5" s="8" t="inlineStr">
        <is>
          <t>Committee + COO</t>
        </is>
      </c>
      <c r="F5" s="8" t="inlineStr">
        <is>
          <t>2026-12-01</t>
        </is>
      </c>
      <c r="G5" s="8" t="inlineStr">
        <is>
          <t>2027-12-01</t>
        </is>
      </c>
      <c r="H5" s="8" t="inlineStr">
        <is>
          <t>All workforce, vendors</t>
        </is>
      </c>
      <c r="I5" s="8" t="inlineStr">
        <is>
          <t>Internal</t>
        </is>
      </c>
      <c r="J5" s="8" t="inlineStr">
        <is>
          <t>Task 2 PDF</t>
        </is>
      </c>
    </row>
    <row r="6">
      <c r="A6" s="8" t="inlineStr">
        <is>
          <t>CAN-PRC-AC-002</t>
        </is>
      </c>
      <c r="B6" s="8" t="inlineStr">
        <is>
          <t>Quarterly User Access Review Procedure</t>
        </is>
      </c>
      <c r="C6" s="8" t="inlineStr">
        <is>
          <t>1.0</t>
        </is>
      </c>
      <c r="D6" s="8" t="inlineStr">
        <is>
          <t>IAM Analyst</t>
        </is>
      </c>
      <c r="E6" s="8" t="inlineStr">
        <is>
          <t>Security Officer</t>
        </is>
      </c>
      <c r="F6" s="8" t="inlineStr">
        <is>
          <t>2027-01-01</t>
        </is>
      </c>
      <c r="G6" s="8" t="inlineStr">
        <is>
          <t>2028-01-01</t>
        </is>
      </c>
      <c r="H6" s="8" t="inlineStr">
        <is>
          <t>IAM, managers, GRC</t>
        </is>
      </c>
      <c r="I6" s="8" t="inlineStr">
        <is>
          <t>Internal</t>
        </is>
      </c>
      <c r="J6" s="8" t="inlineStr">
        <is>
          <t>Task 2 PDF</t>
        </is>
      </c>
    </row>
    <row r="7">
      <c r="A7" s="8" t="inlineStr">
        <is>
          <t>CAN-TRN-PLN-001</t>
        </is>
      </c>
      <c r="B7" s="8" t="inlineStr">
        <is>
          <t>Compliance Training Plan</t>
        </is>
      </c>
      <c r="C7" s="8" t="inlineStr">
        <is>
          <t>1.0</t>
        </is>
      </c>
      <c r="D7" s="8" t="inlineStr">
        <is>
          <t>Privacy Officer</t>
        </is>
      </c>
      <c r="E7" s="8" t="inlineStr">
        <is>
          <t>CCO</t>
        </is>
      </c>
      <c r="F7" s="8" t="inlineStr">
        <is>
          <t>2027-01-01</t>
        </is>
      </c>
      <c r="G7" s="8" t="inlineStr">
        <is>
          <t>2028-01-01</t>
        </is>
      </c>
      <c r="H7" s="8" t="inlineStr">
        <is>
          <t>HR, managers</t>
        </is>
      </c>
      <c r="I7" s="8" t="inlineStr">
        <is>
          <t>Internal</t>
        </is>
      </c>
      <c r="J7" s="8" t="inlineStr">
        <is>
          <t>Task 2 PDF</t>
        </is>
      </c>
    </row>
    <row r="8">
      <c r="A8" s="8" t="inlineStr">
        <is>
          <t>CAN-AUD-2026-01</t>
        </is>
      </c>
      <c r="B8" s="8" t="inlineStr">
        <is>
          <t>Internal Compliance Audit Report (IAM &amp; monitoring)</t>
        </is>
      </c>
      <c r="C8" s="8" t="inlineStr">
        <is>
          <t>1.0</t>
        </is>
      </c>
      <c r="D8" s="8" t="inlineStr">
        <is>
          <t>GRC Analyst</t>
        </is>
      </c>
      <c r="E8" s="8" t="inlineStr">
        <is>
          <t>Internal Audit</t>
        </is>
      </c>
      <c r="F8" s="8" t="inlineStr">
        <is>
          <t>2026-10-20</t>
        </is>
      </c>
      <c r="G8" s="8" t="inlineStr">
        <is>
          <t>Follow-up Jan 2027</t>
        </is>
      </c>
      <c r="H8" s="8" t="inlineStr">
        <is>
          <t>Committee, Board</t>
        </is>
      </c>
      <c r="I8" s="8" t="inlineStr">
        <is>
          <t>Confidential</t>
        </is>
      </c>
      <c r="J8" s="8" t="inlineStr">
        <is>
          <t>Task 3 PDF</t>
        </is>
      </c>
    </row>
    <row r="9">
      <c r="A9" s="8" t="inlineStr">
        <is>
          <t>CAN-RPT-STS-Q4</t>
        </is>
      </c>
      <c r="B9" s="8" t="inlineStr">
        <is>
          <t>Compliance Status Report Q4 2026</t>
        </is>
      </c>
      <c r="C9" s="8" t="inlineStr">
        <is>
          <t>1.0</t>
        </is>
      </c>
      <c r="D9" s="8" t="inlineStr">
        <is>
          <t>CCO</t>
        </is>
      </c>
      <c r="E9" s="8" t="inlineStr">
        <is>
          <t>Program Sponsor</t>
        </is>
      </c>
      <c r="F9" s="8" t="inlineStr">
        <is>
          <t>2026-10-20</t>
        </is>
      </c>
      <c r="G9" s="8" t="inlineStr">
        <is>
          <t>Quarterly</t>
        </is>
      </c>
      <c r="H9" s="8" t="inlineStr">
        <is>
          <t>Executives, Board</t>
        </is>
      </c>
      <c r="I9" s="8" t="inlineStr">
        <is>
          <t>Confidential</t>
        </is>
      </c>
      <c r="J9" s="8" t="inlineStr">
        <is>
          <t>Task 4 PDF</t>
        </is>
      </c>
    </row>
    <row r="10">
      <c r="A10" s="8" t="inlineStr">
        <is>
          <t>CAN-REC-RET-001</t>
        </is>
      </c>
      <c r="B10" s="8" t="inlineStr">
        <is>
          <t>Records Retention Schedule</t>
        </is>
      </c>
      <c r="C10" s="8" t="inlineStr">
        <is>
          <t>1.0</t>
        </is>
      </c>
      <c r="D10" s="8" t="inlineStr">
        <is>
          <t>GRC Analyst</t>
        </is>
      </c>
      <c r="E10" s="8" t="inlineStr">
        <is>
          <t>CCO</t>
        </is>
      </c>
      <c r="F10" s="8" t="inlineStr">
        <is>
          <t>2026-11-01</t>
        </is>
      </c>
      <c r="G10" s="8" t="inlineStr">
        <is>
          <t>2027-11-01</t>
        </is>
      </c>
      <c r="H10" s="8" t="inlineStr">
        <is>
          <t>All record owners</t>
        </is>
      </c>
      <c r="I10" s="8" t="inlineStr">
        <is>
          <t>Internal</t>
        </is>
      </c>
      <c r="J10" s="8" t="inlineStr">
        <is>
          <t>Task 4 PDF / tracker</t>
        </is>
      </c>
    </row>
    <row r="11">
      <c r="A11" s="8" t="inlineStr">
        <is>
          <t>CAN-PLB-IR-001</t>
        </is>
      </c>
      <c r="B11" s="8" t="inlineStr">
        <is>
          <t>Incident Response Playbook</t>
        </is>
      </c>
      <c r="C11" s="8" t="inlineStr">
        <is>
          <t>1.0</t>
        </is>
      </c>
      <c r="D11" s="8" t="inlineStr">
        <is>
          <t>Security Officer</t>
        </is>
      </c>
      <c r="E11" s="8" t="inlineStr">
        <is>
          <t>CCO</t>
        </is>
      </c>
      <c r="F11" s="8" t="inlineStr">
        <is>
          <t>2026-10-08</t>
        </is>
      </c>
      <c r="G11" s="8" t="inlineStr">
        <is>
          <t>2027-10-08</t>
        </is>
      </c>
      <c r="H11" s="8" t="inlineStr">
        <is>
          <t>Security, Privacy, IT</t>
        </is>
      </c>
      <c r="I11" s="8" t="inlineStr">
        <is>
          <t>Confidential</t>
        </is>
      </c>
      <c r="J11" s="8" t="inlineStr">
        <is>
          <t>CloudSec1 can-secops</t>
        </is>
      </c>
    </row>
    <row r="12">
      <c r="A12" s="8" t="inlineStr">
        <is>
          <t>CAN-LGL-OBL-001</t>
        </is>
      </c>
      <c r="B12" s="8" t="inlineStr">
        <is>
          <t>Compliance Obligations Matrix</t>
        </is>
      </c>
      <c r="C12" s="8" t="inlineStr">
        <is>
          <t>1.0</t>
        </is>
      </c>
      <c r="D12" s="8" t="inlineStr">
        <is>
          <t>Privacy Officer</t>
        </is>
      </c>
      <c r="E12" s="8" t="inlineStr">
        <is>
          <t>CCO + counsel</t>
        </is>
      </c>
      <c r="F12" s="8" t="inlineStr">
        <is>
          <t>2026-11-01</t>
        </is>
      </c>
      <c r="G12" s="8" t="inlineStr">
        <is>
          <t>2027-11-01</t>
        </is>
      </c>
      <c r="H12" s="8" t="inlineStr">
        <is>
          <t>Compliance team</t>
        </is>
      </c>
      <c r="I12" s="8" t="inlineStr">
        <is>
          <t>Internal</t>
        </is>
      </c>
      <c r="J12" s="8" t="inlineStr">
        <is>
          <t>Task 5 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2026-10-13T18:00:52Z</dcterms:created>
  <dcterms:modified xsi:type="dcterms:W3CDTF">2026-10-13T18:00:52Z</dcterms:modified>
</cp:coreProperties>
</file>